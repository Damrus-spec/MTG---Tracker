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nts List" sheetId="1" r:id="rId5"/>
    <sheet state="visible" name="Score" sheetId="2" r:id="rId6"/>
    <sheet state="visible" name="Set Fetcher" sheetId="3" r:id="rId7"/>
    <sheet state="visible" name="Colors to built" sheetId="4" r:id="rId8"/>
    <sheet state="visible" name="History" sheetId="5" r:id="rId9"/>
  </sheets>
  <definedNames>
    <definedName name="AverageWinRate">Score!$J$3</definedName>
    <definedName name="Vote">#REF!</definedName>
    <definedName name="FallBehind">Score!$X$9</definedName>
    <definedName name="TotalWins">Score!$F$3</definedName>
    <definedName name="LossRateTarget">Score!$X$7</definedName>
    <definedName name="Improve">#REF!</definedName>
    <definedName name="TotalGames">Score!$L$3</definedName>
    <definedName name="DoesNotMeetThreshold">#REF!</definedName>
    <definedName name="NumberOfDecks">Score!$B$3</definedName>
    <definedName name="PositiveNegative">#REF!</definedName>
    <definedName name="AvgPlayPerDeck">Score!$X$2</definedName>
    <definedName name="PlayDecKMore">#REF!</definedName>
    <definedName name="TotalLosses">Score!$H$3</definedName>
    <definedName name="PlayMore">#REF!</definedName>
    <definedName name="Threshold">Score!$X$8</definedName>
    <definedName name="AverageFunRate">#REF!</definedName>
    <definedName name="LossRate">Score!$X$7</definedName>
    <definedName name="WinRateTarget">Score!$X$6</definedName>
    <definedName name="ValidationNr">Score!$X$8</definedName>
    <definedName name="Nerf">#REF!</definedName>
    <definedName name="AveragePlayPerDeck">Score!$X$2</definedName>
  </definedNames>
  <calcPr/>
</workbook>
</file>

<file path=xl/sharedStrings.xml><?xml version="1.0" encoding="utf-8"?>
<sst xmlns="http://schemas.openxmlformats.org/spreadsheetml/2006/main" count="1983" uniqueCount="1116">
  <si>
    <t>Legend</t>
  </si>
  <si>
    <t>Breya, Etherium Shaper</t>
  </si>
  <si>
    <t>Damia, Sage of Stone</t>
  </si>
  <si>
    <t>Derevi, Empyrial Tactician</t>
  </si>
  <si>
    <t xml:space="preserve">When a cell contains the below symbols. It will be left out of the buy list on the right. </t>
  </si>
  <si>
    <t>In</t>
  </si>
  <si>
    <t>Out</t>
  </si>
  <si>
    <t xml:space="preserve">Horizon of Progress </t>
  </si>
  <si>
    <t>Voice of Victory</t>
  </si>
  <si>
    <t>Change of Plans</t>
  </si>
  <si>
    <t>Ainok strike leader</t>
  </si>
  <si>
    <t>? = Questioning if it should go in</t>
  </si>
  <si>
    <t>Witch-king of Angmar</t>
  </si>
  <si>
    <t>Senu, Keen-Eyed Protector</t>
  </si>
  <si>
    <r>
      <rPr>
        <rFont val="Calibri,Arial"/>
        <b/>
        <color rgb="FFFFFFFF"/>
        <sz val="11.0"/>
      </rPr>
      <t xml:space="preserve">Code: </t>
    </r>
    <r>
      <rPr>
        <rFont val="Calibri,Arial"/>
        <b/>
        <color rgb="FFFFFFFF"/>
        <sz val="11.0"/>
      </rPr>
      <t>Ctrl + Alt + Shift + 9</t>
    </r>
  </si>
  <si>
    <t xml:space="preserve"> \ = Own it already but it isn't in. </t>
  </si>
  <si>
    <r>
      <rPr>
        <rFont val="Calibri,Arial"/>
        <b/>
        <color rgb="FFFFFFFF"/>
        <sz val="11.0"/>
      </rPr>
      <t xml:space="preserve">Code: </t>
    </r>
    <r>
      <rPr>
        <rFont val="Calibri,Arial"/>
        <b/>
        <color rgb="FFFFFFFF"/>
        <sz val="11.0"/>
      </rPr>
      <t>Ctrl + Alt + Shift + 0</t>
    </r>
  </si>
  <si>
    <t>Practiced Scrollsmith</t>
  </si>
  <si>
    <t>Personify</t>
  </si>
  <si>
    <t>Remove "\ " or "? " from the selected cells</t>
  </si>
  <si>
    <t>Agate Instigator token</t>
  </si>
  <si>
    <t>Code: Ctrl + Alt + Shift + 8</t>
  </si>
  <si>
    <t>Nanogene Conversion</t>
  </si>
  <si>
    <t xml:space="preserve">Welcoming vampire </t>
  </si>
  <si>
    <t>Scryfall list</t>
  </si>
  <si>
    <t>My Precious</t>
  </si>
  <si>
    <t>Code: Ctrl + Alt + Shift + 7</t>
  </si>
  <si>
    <t>Frost cliff siege</t>
  </si>
  <si>
    <t xml:space="preserve">Secret Salvage </t>
  </si>
  <si>
    <t>Buy anyway</t>
  </si>
  <si>
    <t>Shadow-Rite Priest</t>
  </si>
  <si>
    <t>Agent venom</t>
  </si>
  <si>
    <t>Adrenaline Jockey</t>
  </si>
  <si>
    <t xml:space="preserve">Boltbender </t>
  </si>
  <si>
    <t>Shadow of the Second Sun</t>
  </si>
  <si>
    <t>Winter, Misanthropic Guide</t>
  </si>
  <si>
    <t xml:space="preserve"> Feather, the Redeemed</t>
  </si>
  <si>
    <t>Ghidorah, King of the Cosmos</t>
  </si>
  <si>
    <t>Ghyrson Starn, Kelermorph</t>
  </si>
  <si>
    <t>Jetmir, Nexus of Revels</t>
  </si>
  <si>
    <t xml:space="preserve">Mox Jasper </t>
  </si>
  <si>
    <t>Bilbo thief in the night</t>
  </si>
  <si>
    <t>Pinnacle monk</t>
  </si>
  <si>
    <t>?Goobbue Gardener</t>
  </si>
  <si>
    <t>\Intruder Alarm</t>
  </si>
  <si>
    <t>Sage of the Beyond</t>
  </si>
  <si>
    <t>\Aziza, Mage Tower Captain</t>
  </si>
  <si>
    <t>?Frenzied Baloth</t>
  </si>
  <si>
    <t xml:space="preserve">Fortune Teller's Talent </t>
  </si>
  <si>
    <t>Kodama of the West Tree</t>
  </si>
  <si>
    <t>Rune of Might</t>
  </si>
  <si>
    <t>Incubation Druid</t>
  </si>
  <si>
    <t>/Alpha Authority</t>
  </si>
  <si>
    <t>/Esper Sentinel</t>
  </si>
  <si>
    <t>Underworld Breach</t>
  </si>
  <si>
    <t>Kroxa, Titan of Death's Hunger</t>
  </si>
  <si>
    <t>Junji, the Midnight Sky</t>
  </si>
  <si>
    <t>Auriok Champion</t>
  </si>
  <si>
    <t/>
  </si>
  <si>
    <t>? Eldrazi Confluence</t>
  </si>
  <si>
    <t>?Neko-Te</t>
  </si>
  <si>
    <t>?Agate Instigator</t>
  </si>
  <si>
    <t>?Flatline</t>
  </si>
  <si>
    <t>?Cosmogrand Zenith</t>
  </si>
  <si>
    <t>Kykar, Wind's Fury</t>
  </si>
  <si>
    <t xml:space="preserve">Tannuk, Steadfast Second </t>
  </si>
  <si>
    <t>Liberator, Urza's Battlethopter</t>
  </si>
  <si>
    <t>Marchesa, the Black Rose</t>
  </si>
  <si>
    <t>D</t>
  </si>
  <si>
    <t>?Share the Spoils</t>
  </si>
  <si>
    <t>\Urza's cave</t>
  </si>
  <si>
    <t>\Sidisi, Regent of the Mire</t>
  </si>
  <si>
    <t xml:space="preserve">?Wyll's reversal </t>
  </si>
  <si>
    <t>\Damping Sphere</t>
  </si>
  <si>
    <t>Nasty end</t>
  </si>
  <si>
    <t>?Keep Watch</t>
  </si>
  <si>
    <t>?Possessed Portal</t>
  </si>
  <si>
    <t>\Planar Incision</t>
  </si>
  <si>
    <t xml:space="preserve">Creature type draw? </t>
  </si>
  <si>
    <t xml:space="preserve">\Arena of Glory </t>
  </si>
  <si>
    <t xml:space="preserve">Haste enchantment </t>
  </si>
  <si>
    <t>\Wild Wasteland</t>
  </si>
  <si>
    <t>wwwwwa</t>
  </si>
  <si>
    <t>?Brainstorm</t>
  </si>
  <si>
    <t>Minn, Wily Illusionist</t>
  </si>
  <si>
    <t>Nethroi, Apex of Death</t>
  </si>
  <si>
    <t>Obosh, the Preypiercer</t>
  </si>
  <si>
    <t xml:space="preserve"> Omnath, Locus of Creation</t>
  </si>
  <si>
    <t xml:space="preserve">?Lyla, Holographic Assistant </t>
  </si>
  <si>
    <t>?Qarsi Revenant</t>
  </si>
  <si>
    <t>?Orcish Lumberjack</t>
  </si>
  <si>
    <t>?Thirst for Discovery</t>
  </si>
  <si>
    <t>?Surtr, Fiery Jotun</t>
  </si>
  <si>
    <t>\Conduit of Worlds</t>
  </si>
  <si>
    <t>?Quick Study</t>
  </si>
  <si>
    <t>\Druid Class</t>
  </si>
  <si>
    <t>\Nissa, Resurgent Animist</t>
  </si>
  <si>
    <t>\Mina and Denn, Wildborn</t>
  </si>
  <si>
    <t>Spanish mina</t>
  </si>
  <si>
    <t>\Pair o' Dice Lost</t>
  </si>
  <si>
    <t>\Loamcrafter Faun</t>
  </si>
  <si>
    <t xml:space="preserve">\Horizon of Progress </t>
  </si>
  <si>
    <t>\Galadriel's Dismissal</t>
  </si>
  <si>
    <t xml:space="preserve">?Star athlete </t>
  </si>
  <si>
    <t>?Ashling's Prerogative</t>
  </si>
  <si>
    <t xml:space="preserve">Oona, Queen of the Fae </t>
  </si>
  <si>
    <t>Sasaya, Orochi Ascendant</t>
  </si>
  <si>
    <t>Saskia the Unyielding</t>
  </si>
  <si>
    <t xml:space="preserve"> Scion of the Ur-Dragon</t>
  </si>
  <si>
    <t>Sphinx of the Second Sun {6}</t>
  </si>
  <si>
    <t>\\Torpor orb</t>
  </si>
  <si>
    <t>?Rites of Spring</t>
  </si>
  <si>
    <t>Sen triplets</t>
  </si>
  <si>
    <t>Sram, Senior Edificer</t>
  </si>
  <si>
    <t>Calix, Guided by Fate</t>
  </si>
  <si>
    <t>Taigam, Ojutai Master</t>
  </si>
  <si>
    <t>\In</t>
  </si>
  <si>
    <t xml:space="preserve">\Trouble in Pairs </t>
  </si>
  <si>
    <t>All that glitters</t>
  </si>
  <si>
    <t>\\Dawn's Truce</t>
  </si>
  <si>
    <t>Surge of Salvation</t>
  </si>
  <si>
    <t>\Bear Umbra</t>
  </si>
  <si>
    <t>\Restoration Seminar</t>
  </si>
  <si>
    <t>Keeper of the accord</t>
  </si>
  <si>
    <t>?Echo of Eons</t>
  </si>
  <si>
    <t xml:space="preserve">\Kami of Whispered Hopes </t>
  </si>
  <si>
    <t>\Shield of the Oversoul</t>
  </si>
  <si>
    <t>\Tataru Taru</t>
  </si>
  <si>
    <t xml:space="preserve"> </t>
  </si>
  <si>
    <t>?Canopy Cover</t>
  </si>
  <si>
    <t>?Angelic destiny</t>
  </si>
  <si>
    <t>?Giant Inheritance</t>
  </si>
  <si>
    <t xml:space="preserve">?Thieving Varmint </t>
  </si>
  <si>
    <t xml:space="preserve"> Tariel, Reckoner of Souls</t>
  </si>
  <si>
    <t>Teysa, Orzhov Scion</t>
  </si>
  <si>
    <t>Tymna//Ikra</t>
  </si>
  <si>
    <t>Wort, The RaidMother</t>
  </si>
  <si>
    <t>?Dawn's Truce</t>
  </si>
  <si>
    <t>Cleric class</t>
  </si>
  <si>
    <t>\Pinnacle Monk</t>
  </si>
  <si>
    <t>Mountain</t>
  </si>
  <si>
    <t>?Ashes of the Abhorrent</t>
  </si>
  <si>
    <t>\Seething Song</t>
  </si>
  <si>
    <t>\?Leonin Elder</t>
  </si>
  <si>
    <t>\Molten-Core Maestro</t>
  </si>
  <si>
    <t>?Balor</t>
  </si>
  <si>
    <t>\Unexpected Windfall</t>
  </si>
  <si>
    <t xml:space="preserve">\?Spider manifestation </t>
  </si>
  <si>
    <t>&gt;&gt; Sort Most Played &lt;&lt;</t>
  </si>
  <si>
    <t>&gt;&gt; Sort Wins. &lt;&lt;</t>
  </si>
  <si>
    <t>&gt;&gt; Sort Last &lt;&lt;</t>
  </si>
  <si>
    <t>Most</t>
  </si>
  <si>
    <t>Average game per deck</t>
  </si>
  <si>
    <t>Decks                        Totals:</t>
  </si>
  <si>
    <t>Last Changed</t>
  </si>
  <si>
    <t>Nr</t>
  </si>
  <si>
    <t>Deck Name</t>
  </si>
  <si>
    <t>Win</t>
  </si>
  <si>
    <t>Loss</t>
  </si>
  <si>
    <t>W-Rate</t>
  </si>
  <si>
    <t>Total</t>
  </si>
  <si>
    <t>Date</t>
  </si>
  <si>
    <t>Last</t>
  </si>
  <si>
    <t>P-Evaluation</t>
  </si>
  <si>
    <t>Settings</t>
  </si>
  <si>
    <t xml:space="preserve">Obosh, the Preypiercer </t>
  </si>
  <si>
    <t>Max Win rate</t>
  </si>
  <si>
    <t>Strong Win Rate</t>
  </si>
  <si>
    <t>Wins</t>
  </si>
  <si>
    <t>Treshold</t>
  </si>
  <si>
    <t>Select a deck for the graph</t>
  </si>
  <si>
    <t>Entries</t>
  </si>
  <si>
    <t>Tariel, Reckoner of Souls</t>
  </si>
  <si>
    <t>Fall behind</t>
  </si>
  <si>
    <t>All</t>
  </si>
  <si>
    <t>Ikra // Tymna</t>
  </si>
  <si>
    <t>Feather, the Redeemed</t>
  </si>
  <si>
    <t xml:space="preserve">Illuna / Ghidorah </t>
  </si>
  <si>
    <t>Scion, The Ur Dragon</t>
  </si>
  <si>
    <t>Wort, The raid Mother</t>
  </si>
  <si>
    <t>Oona, Queen of Fae</t>
  </si>
  <si>
    <t>Sen Triplets</t>
  </si>
  <si>
    <t>Retired decks</t>
  </si>
  <si>
    <t>Gahiji</t>
  </si>
  <si>
    <t>Traximundar</t>
  </si>
  <si>
    <t>??</t>
  </si>
  <si>
    <t>Sythis, Harvest's Hand</t>
  </si>
  <si>
    <t>Instructions:</t>
  </si>
  <si>
    <r>
      <rPr>
        <rFont val="Arial"/>
        <b/>
        <color theme="1"/>
        <sz val="11.0"/>
      </rPr>
      <t xml:space="preserve">Look up legend. </t>
    </r>
    <r>
      <rPr>
        <rFont val="Arial"/>
        <b/>
        <color rgb="FF1155CC"/>
        <sz val="11.0"/>
        <u/>
      </rPr>
      <t>https://en.wikipedia.org/wiki/List_of_Magic:_The_Gathering_sets</t>
    </r>
  </si>
  <si>
    <t>You can copy paste the set information from scryfall or from chatgpt4 and the text will convert properly</t>
  </si>
  <si>
    <t>Copy the final want list into ManaMaza. Paste the list in Collumn A. Get a set name for each so you can sort it on sets, it culls acces data as well.</t>
  </si>
  <si>
    <t>Input</t>
  </si>
  <si>
    <t>Count</t>
  </si>
  <si>
    <t>Card Name</t>
  </si>
  <si>
    <t>Set Name</t>
  </si>
  <si>
    <t>Set Code</t>
  </si>
  <si>
    <r>
      <rPr>
        <rFont val="Calibri"/>
        <color theme="1"/>
      </rPr>
      <t xml:space="preserve">Input any missing set by copying it from Scryfall. </t>
    </r>
    <r>
      <rPr>
        <rFont val="Calibri"/>
        <b/>
        <color theme="1"/>
      </rPr>
      <t xml:space="preserve"> For example:</t>
    </r>
    <r>
      <rPr>
        <rFont val="Calibri"/>
        <color theme="1"/>
      </rPr>
      <t xml:space="preserve"> Commander Collection: Green (CC1) </t>
    </r>
  </si>
  <si>
    <t>1 Brotherhood Regalia (ACR) 71</t>
  </si>
  <si>
    <t>9ED = Ninth Edition</t>
  </si>
  <si>
    <t>3 Desynchronization (ACR) 16</t>
  </si>
  <si>
    <t>ACR = Adventures in the Forgotten Realms</t>
  </si>
  <si>
    <t>1 Eagle Vision (ACR) 17</t>
  </si>
  <si>
    <t>AER = Aether Revolt</t>
  </si>
  <si>
    <t>1 Haystack (ACR) 5</t>
  </si>
  <si>
    <t>AKH = Amonkhet</t>
  </si>
  <si>
    <t>1 Felidar Guardian (AER) 19</t>
  </si>
  <si>
    <t xml:space="preserve">ATH = Anthologies </t>
  </si>
  <si>
    <t>3 Strip Mine (ATH) 77</t>
  </si>
  <si>
    <t>BFZ = Battle for Zendikar</t>
  </si>
  <si>
    <t>2 Agate Instigator (BLC) 21</t>
  </si>
  <si>
    <t>BIG = The Big Score</t>
  </si>
  <si>
    <t>1 Jacked Rabbit (BLC) 9</t>
  </si>
  <si>
    <t>BLB = Battlebond</t>
  </si>
  <si>
    <t>1 Pollywog Prodigy (BLC) 15</t>
  </si>
  <si>
    <t>BLC = Battle for Zendikar</t>
  </si>
  <si>
    <t>1 Skyclave Apparition (BLC) 154</t>
  </si>
  <si>
    <t>C19 = Commander 2019</t>
  </si>
  <si>
    <t>1 Beza, the Bounding Spring (BLB) 2</t>
  </si>
  <si>
    <t>C20 = Commander 2020</t>
  </si>
  <si>
    <t>1 Coruscation Mage (BLB) 131</t>
  </si>
  <si>
    <t>C21 = Commander 2021</t>
  </si>
  <si>
    <t>5 Dawn's Truce (BLB) 9</t>
  </si>
  <si>
    <t>CLB = Commander Legends: Battle for Baldur's Gate</t>
  </si>
  <si>
    <t>1 Fountainport (BLB) 253</t>
  </si>
  <si>
    <t>CLU = Commander Legends: Battle for Baldur's Gate</t>
  </si>
  <si>
    <t>1 Hearthborn Battler (BLB) 139</t>
  </si>
  <si>
    <t>CMA = Commander Anthology</t>
  </si>
  <si>
    <t>2 Kitsa, Otterball Elite (BLB) 54</t>
  </si>
  <si>
    <t>CMR = Commander Legends</t>
  </si>
  <si>
    <t>1 Long River's Pull (BLB) 58</t>
  </si>
  <si>
    <t>DAG = Duel Decks: Anthology</t>
  </si>
  <si>
    <t>1 Patchwork Banner (BLB) 247</t>
  </si>
  <si>
    <t>DDD = Duel Decks: Divine vs. Demonic</t>
  </si>
  <si>
    <t>1 Starfall Invocation (BLB) 34</t>
  </si>
  <si>
    <t>DDF = Duel Decks: Elves vs. Goblins</t>
  </si>
  <si>
    <t>5 Three Tree City (BLB) 260</t>
  </si>
  <si>
    <t>DMR = Dominaria Remastered</t>
  </si>
  <si>
    <t>1 Mass Diminish (C19) 10</t>
  </si>
  <si>
    <t>DOM = Dominaria</t>
  </si>
  <si>
    <t>2 Primal Growth (CMA) 137</t>
  </si>
  <si>
    <t>DPA = Duel Decks: Phyrexia vs. the Coalition</t>
  </si>
  <si>
    <t>1 Angel of Vitality (CLU) 53</t>
  </si>
  <si>
    <t>DSC = Duskmourn: House of Horror Commander</t>
  </si>
  <si>
    <t>1 Bag of Holding (CLB) 299</t>
  </si>
  <si>
    <t>DSK = Dominaria United Commander</t>
  </si>
  <si>
    <t>2 Everybody Lives! (WHO) 18</t>
  </si>
  <si>
    <t>DTK = Dragons of Tarkir</t>
  </si>
  <si>
    <t>1 Flatline (WHO) 43</t>
  </si>
  <si>
    <t>DYN = Kaldheim</t>
  </si>
  <si>
    <t>1 Herald of Ilharg (CLU) 34</t>
  </si>
  <si>
    <t>ELD = Throne of Eldraine</t>
  </si>
  <si>
    <t>1 Impending Flux (WHO) 87</t>
  </si>
  <si>
    <t>EMN = Eldritch Moon</t>
  </si>
  <si>
    <t>1 Quantum Misalignment (WHO) 52</t>
  </si>
  <si>
    <t>EVE = Eventide</t>
  </si>
  <si>
    <t>2 Suppressor Skyguard (CLU) 46</t>
  </si>
  <si>
    <t>FUT = Future Sight</t>
  </si>
  <si>
    <t>1 Abundance (CMM) 884</t>
  </si>
  <si>
    <t>GDS = Guilds of Ravnica: The Gathering</t>
  </si>
  <si>
    <t>1 Ajani, Strength of the Pride (M20) 2</t>
  </si>
  <si>
    <t>GRN = Guilds of Ravnica</t>
  </si>
  <si>
    <t>1 Exploration (DMR) 159</t>
  </si>
  <si>
    <t>HOU = Hour of Devastation</t>
  </si>
  <si>
    <t>1 Krosan Restorer (DMR) 168</t>
  </si>
  <si>
    <t>IKO = Ikoria: Lair of Behemoths</t>
  </si>
  <si>
    <t>1 Overmaster (DMR) 132</t>
  </si>
  <si>
    <t>KLD = Kaladesh</t>
  </si>
  <si>
    <t>1 Blazemire Verge (DSK) 256</t>
  </si>
  <si>
    <t>KTK = Khans of Tarkir</t>
  </si>
  <si>
    <t>1 Dollmaker's Shop // Porcelain Gallery (DSK) 4</t>
  </si>
  <si>
    <t>LCC = The Lost Caverns of Ixalan Commander</t>
  </si>
  <si>
    <t>1 Doomsday Excruciator (DSK) 94</t>
  </si>
  <si>
    <t>LGC = Legend of the Five Rings</t>
  </si>
  <si>
    <t>1 Enduring Courage (DSK) 133</t>
  </si>
  <si>
    <t>LOR = Lorwyn</t>
  </si>
  <si>
    <t>2 Enduring Curiosity (DSK) 51</t>
  </si>
  <si>
    <t>LTC = Tales of Middle-earth Commander</t>
  </si>
  <si>
    <t>1 Enduring Tenacity (DSK) 95</t>
  </si>
  <si>
    <t>M10 = Magic 2010</t>
  </si>
  <si>
    <t>1 Enter the Enigma (DSK) 52</t>
  </si>
  <si>
    <t>M11 = Magic 2011</t>
  </si>
  <si>
    <t>1 Floodfarm Verge (DSK) 259</t>
  </si>
  <si>
    <t>M12 = Magic 2012</t>
  </si>
  <si>
    <t>1 Funeral Room // Awakening Hall (DSK) 100</t>
  </si>
  <si>
    <t>M13 = Magic 2013</t>
  </si>
  <si>
    <t>1 Gloomlake Verge (DSK) 260</t>
  </si>
  <si>
    <t>M14 = Magic 2014</t>
  </si>
  <si>
    <t>1 Grievous Wound (DSK) 102</t>
  </si>
  <si>
    <t>M15 = Magic 2015</t>
  </si>
  <si>
    <t>1 Hauntwoods Shrieker (DSK) 182</t>
  </si>
  <si>
    <t>M19 = Core Set 2019</t>
  </si>
  <si>
    <t>1 Kona, Rescue Beastie (DSK) 187</t>
  </si>
  <si>
    <t>M20 = Core Set 2020</t>
  </si>
  <si>
    <t>1 Leyline of Resonance (DSK) 143</t>
  </si>
  <si>
    <t>M21 = Core Set 2021</t>
  </si>
  <si>
    <t>1 Meathook Massacre II (DSK) 108</t>
  </si>
  <si>
    <t>m3c = Modern Horizons 3 Commander</t>
  </si>
  <si>
    <t>1 Nowhere to Run (DSK) 111</t>
  </si>
  <si>
    <t>MH1 = Modern Horizons</t>
  </si>
  <si>
    <t>1 Peer Past the Veil (DSK) 226</t>
  </si>
  <si>
    <t>MH2 = Modern Horizons 2</t>
  </si>
  <si>
    <t>1 Razorkin Needlehead (DSK) 153</t>
  </si>
  <si>
    <t>MH3 = Modern Horizons 3</t>
  </si>
  <si>
    <t>1 Restricted Office // Lecture Hall (DSK) 227</t>
  </si>
  <si>
    <t>MIR = Mirrodin</t>
  </si>
  <si>
    <t>1 Screaming Nemesis (DSK) 157</t>
  </si>
  <si>
    <t>MKC = March of the Machine Commander</t>
  </si>
  <si>
    <t>1 Split Up (DSK) 32</t>
  </si>
  <si>
    <t>MKM = Midnight Hunt Commander</t>
  </si>
  <si>
    <t>1 The Mindskinner (DSK) 66</t>
  </si>
  <si>
    <t>MM1 = Modern Masters 1</t>
  </si>
  <si>
    <t>1 The Rollercrusher Ride (DSK) 155</t>
  </si>
  <si>
    <t>MM2 = Modern Masters 2</t>
  </si>
  <si>
    <t>2 Thornspire Verge (DSK) 270</t>
  </si>
  <si>
    <t>MM3 = Modern Masters 3</t>
  </si>
  <si>
    <t>1 Undead Sprinter (DSK) 237</t>
  </si>
  <si>
    <t>MMA = Modern Masters Anthology</t>
  </si>
  <si>
    <t>1 Unstoppable Slasher (DSK) 119</t>
  </si>
  <si>
    <t>NCC = New Capenna Commander</t>
  </si>
  <si>
    <t>2 Walk-In Closet // Forgotten Cellar (DSK) 205</t>
  </si>
  <si>
    <t>NMS = Scars of Mirrodin</t>
  </si>
  <si>
    <t>3 Withering Torment (DSK) 124</t>
  </si>
  <si>
    <t>NPH = New Phyrexia</t>
  </si>
  <si>
    <t>2 Gleeful Arsonist (DSC) 27</t>
  </si>
  <si>
    <t>OGW = Oath of the Gatewatch</t>
  </si>
  <si>
    <t>2 Into the Pit (DSC) 20</t>
  </si>
  <si>
    <t>ORI = Magic Origins</t>
  </si>
  <si>
    <t>1 Valgavoth, Harrower of Souls (DSC) 6</t>
  </si>
  <si>
    <t>OTC = Outlaws of Thunder Junction Commander</t>
  </si>
  <si>
    <t>1 Bottle-Cap Blast (PIP) 55</t>
  </si>
  <si>
    <t xml:space="preserve">Outlaws of Thunder Junction (OTJ) </t>
  </si>
  <si>
    <t>1 MacCready, Lamplight Mayor (PIP) 108</t>
  </si>
  <si>
    <t>PCA = Planeswalker Deck</t>
  </si>
  <si>
    <t>1 Pip-Boy 3000 (PIP) 140</t>
  </si>
  <si>
    <t>1 Pre-War Formalwear (PIP) 21</t>
  </si>
  <si>
    <t>PRM = Premium Deck Series</t>
  </si>
  <si>
    <t>1 Blazing Volley (IKO) 107</t>
  </si>
  <si>
    <t>RAV = Ravnica: City of Guilds</t>
  </si>
  <si>
    <t>1 Winged Portent (VOW) 89</t>
  </si>
  <si>
    <t>REX = Jurassic World Collection</t>
  </si>
  <si>
    <t>1 Permission Denied (REX) 17</t>
  </si>
  <si>
    <t>RIX = Rivals of Ixalan</t>
  </si>
  <si>
    <t>2 Jeska's Will (MKC) 156</t>
  </si>
  <si>
    <t>RNA = Ravnica Allegiance</t>
  </si>
  <si>
    <t>1 Prisoner's Dilemma (MKC) 34</t>
  </si>
  <si>
    <t>SOI = Shadows over Innistrad</t>
  </si>
  <si>
    <t>3 Trouble in Pairs (MKC) 15</t>
  </si>
  <si>
    <t>SOM = Scars of Mirrodin</t>
  </si>
  <si>
    <t>1 Welcoming Vampire (MKC) 91</t>
  </si>
  <si>
    <t>THB = Theros Beyond Death</t>
  </si>
  <si>
    <t>1 Anzrag's Rampage (MKM) 111</t>
  </si>
  <si>
    <t>THS = Theros</t>
  </si>
  <si>
    <t>2 Delney, Streetwise Lookout (MKM) 12</t>
  </si>
  <si>
    <t>TSP = Time Spiral</t>
  </si>
  <si>
    <t>1 Demand Answers (MKM) 122</t>
  </si>
  <si>
    <t>TSR = Time Spiral Remastered</t>
  </si>
  <si>
    <t>1 Doorkeeper Thrull (MKM) 13</t>
  </si>
  <si>
    <t>UMA = Ultimate Masters</t>
  </si>
  <si>
    <t>1 Judith, Carnage Connoisseur (MKM) 210</t>
  </si>
  <si>
    <t xml:space="preserve">VOW = Innistrad: Crimson Vow </t>
  </si>
  <si>
    <t>1 Outrageous Robbery (MKM) 97</t>
  </si>
  <si>
    <t>WAR = War of the Spark</t>
  </si>
  <si>
    <t>1 Proft's Eidetic Memory (MKM) 67</t>
  </si>
  <si>
    <t>WHO = Commander Legends: Battle for Baldur's Gate</t>
  </si>
  <si>
    <t>1 Snarling Gorehound (MKM) 105</t>
  </si>
  <si>
    <t>WOE = Wilds of Eldraine</t>
  </si>
  <si>
    <t>1 Warleader's Call (MKM) 242</t>
  </si>
  <si>
    <t>ZNC = Zendikar: Rising</t>
  </si>
  <si>
    <t>3 Winds of Abandon (MH1) 37</t>
  </si>
  <si>
    <t>ZNR = Zendikar Rising</t>
  </si>
  <si>
    <t>1 Obsidian Charmaw (MH2) 137</t>
  </si>
  <si>
    <t>Cmm = Commander Masters</t>
  </si>
  <si>
    <t>1 Abstruse Appropriation (MH3) 177</t>
  </si>
  <si>
    <t>LCI = The Lost Caverns of Ixalan</t>
  </si>
  <si>
    <t>1 Archway of Innovation (MH3) 214</t>
  </si>
  <si>
    <t>RVR = Ravnica Remastered</t>
  </si>
  <si>
    <t>2 Arena of Glory (MH3) 215</t>
  </si>
  <si>
    <t xml:space="preserve">Ravnica Remastered (RVR) </t>
  </si>
  <si>
    <t>1 Brainsurge (MH3) 53</t>
  </si>
  <si>
    <t xml:space="preserve">Commander Collection: Green (CC1) </t>
  </si>
  <si>
    <t>2 Chthonian Nightmare (MH3) 83</t>
  </si>
  <si>
    <t xml:space="preserve">Fallout (PIP) </t>
  </si>
  <si>
    <t>3 Collective Resistance (MH3) 147</t>
  </si>
  <si>
    <t>1 Consign to Memory (MH3) 54</t>
  </si>
  <si>
    <t>1 Disruptor Flute (MH3) 209</t>
  </si>
  <si>
    <t>1 Emrakul's Messenger (MH3) 61</t>
  </si>
  <si>
    <t>4 Flare of Cultivation (MH3) 154</t>
  </si>
  <si>
    <t>1 Flare of Denial (MH3) 62</t>
  </si>
  <si>
    <t>1 Flare of Duplication (MH3) 119</t>
  </si>
  <si>
    <t>8 Flare of Fortitude (MH3) 26</t>
  </si>
  <si>
    <t>1 Flare of Malice (MH3) 95</t>
  </si>
  <si>
    <t>1 Grim Servant (MH3) 97</t>
  </si>
  <si>
    <t>2 Guide of Souls (MH3) 29</t>
  </si>
  <si>
    <t>1 Marionette Apprentice (MH3) 100</t>
  </si>
  <si>
    <t>1 Monumental Henge (MH3) 222</t>
  </si>
  <si>
    <t>3 Ocelot Pride (MH3) 38</t>
  </si>
  <si>
    <t>1 Psychic Frog (MH3) 199</t>
  </si>
  <si>
    <t>1 Ral and the Implicit Maze (MH3) 132</t>
  </si>
  <si>
    <t>4 Shifting Woodland (MH3) 228</t>
  </si>
  <si>
    <t>2 Six (MH3) 169</t>
  </si>
  <si>
    <t>1 Sorin of House Markov // Sorin, Ravenous Neonate (MH3) 245</t>
  </si>
  <si>
    <t>CC1</t>
  </si>
  <si>
    <t>Commander Collection: Green</t>
  </si>
  <si>
    <t>1 Springheart Nantuko (MH3) 171</t>
  </si>
  <si>
    <t>CMR</t>
  </si>
  <si>
    <t>Commander Legends</t>
  </si>
  <si>
    <t>2 Spymaster's Vault (MH3) 230</t>
  </si>
  <si>
    <t>2XM</t>
  </si>
  <si>
    <t>Double Masters</t>
  </si>
  <si>
    <t>1 Ulamog, the Defiler (MH3) 15</t>
  </si>
  <si>
    <t>JMP</t>
  </si>
  <si>
    <t>Jumpstart</t>
  </si>
  <si>
    <t>6 Urza's Cave (MH3) 234</t>
  </si>
  <si>
    <t>M21</t>
  </si>
  <si>
    <t>Core Set 2021</t>
  </si>
  <si>
    <t>1 Vexing Bauble (MH3) 212</t>
  </si>
  <si>
    <t>IKO</t>
  </si>
  <si>
    <t>Ikoria: Lair of Behemoths</t>
  </si>
  <si>
    <t>1 Warren Soultrader (MH3) 110</t>
  </si>
  <si>
    <t>C20</t>
  </si>
  <si>
    <t>Ikoria Commander</t>
  </si>
  <si>
    <t>1 Witch Enchanter // Witch-Blessed Meadow (MH3) 239</t>
  </si>
  <si>
    <t>UND</t>
  </si>
  <si>
    <t>Unsanctioned</t>
  </si>
  <si>
    <t>2 Lazotep Quarry (M3C) 131</t>
  </si>
  <si>
    <t>THB</t>
  </si>
  <si>
    <t>Theros Beyond Death</t>
  </si>
  <si>
    <t>5 Talon Gates of Madara (M3C) 134</t>
  </si>
  <si>
    <t>SLD</t>
  </si>
  <si>
    <t>Secret Lair Drop Series</t>
  </si>
  <si>
    <t>1 Kira, Great Glass-Spinner (MMA) 49</t>
  </si>
  <si>
    <t>GN2</t>
  </si>
  <si>
    <t>Game Night 2019</t>
  </si>
  <si>
    <t>1 Currency Converter (NCC) 81</t>
  </si>
  <si>
    <t>MB1</t>
  </si>
  <si>
    <t>Mystery Booster</t>
  </si>
  <si>
    <t>1 Defense Grid (9ED) 293</t>
  </si>
  <si>
    <t>ELD</t>
  </si>
  <si>
    <t>Throne of Eldraine</t>
  </si>
  <si>
    <t>2 Aven Interrupter (OTJ) 4</t>
  </si>
  <si>
    <t>C19</t>
  </si>
  <si>
    <t>Commander 2019</t>
  </si>
  <si>
    <t>1 Eroded Canyon (OTJ) 256</t>
  </si>
  <si>
    <t>M20</t>
  </si>
  <si>
    <t>Core Set 2020</t>
  </si>
  <si>
    <t>9 Final Showdown (OTJ) 11</t>
  </si>
  <si>
    <t>MH1</t>
  </si>
  <si>
    <t>Modern Horizons</t>
  </si>
  <si>
    <t>1 Getaway Glamer (OTJ) 14</t>
  </si>
  <si>
    <t>WAR</t>
  </si>
  <si>
    <t>War of the Spark</t>
  </si>
  <si>
    <t>1 Kambal, Profiteering Mayor (OTJ) 211</t>
  </si>
  <si>
    <t>GK2_AZORIU</t>
  </si>
  <si>
    <t>Guild Kit: Azorius</t>
  </si>
  <si>
    <t>1 Magda, the Hoardmaster (OTJ) 133</t>
  </si>
  <si>
    <t>GK2_GRUUL</t>
  </si>
  <si>
    <t>Guild Kit: Gruul</t>
  </si>
  <si>
    <t>1 Metamorphic Blast (OTJ) 57</t>
  </si>
  <si>
    <t>GK2_ORZHOV</t>
  </si>
  <si>
    <t>Guild Kit: Orzhov</t>
  </si>
  <si>
    <t>1 Smuggler's Surprise (OTJ) 180</t>
  </si>
  <si>
    <t>GK2_RAKDOS</t>
  </si>
  <si>
    <t>Guild Kit: Rakdos</t>
  </si>
  <si>
    <t>1 Three Steps Ahead (OTJ) 75</t>
  </si>
  <si>
    <t>GK2_SIMIC</t>
  </si>
  <si>
    <t>Guild Kit: Simic</t>
  </si>
  <si>
    <t>1 Stella Lee, Wild Card (OTC) 3</t>
  </si>
  <si>
    <t>RNA</t>
  </si>
  <si>
    <t>Ravnica Allegiance</t>
  </si>
  <si>
    <t>1 Young Pyromancer (OTC) 185</t>
  </si>
  <si>
    <t>MPS_RNA</t>
  </si>
  <si>
    <t>Ravnica Allegiance Mythic Edition</t>
  </si>
  <si>
    <t>1 Temple Garden (RVR) 290</t>
  </si>
  <si>
    <t>J19</t>
  </si>
  <si>
    <t>Judge Promos 2019</t>
  </si>
  <si>
    <t>5 Galadriel's Dismissal (LTC) 500</t>
  </si>
  <si>
    <t>UMA</t>
  </si>
  <si>
    <t>Ultimate Masters</t>
  </si>
  <si>
    <t>1 Minas Morgul, Dark Fortress (LTC) 514</t>
  </si>
  <si>
    <t>UMA_BOX</t>
  </si>
  <si>
    <t>Ultimate Box Toppers</t>
  </si>
  <si>
    <t>1 Treebeard, Gracious Host (LTC) 73</t>
  </si>
  <si>
    <t>GNT</t>
  </si>
  <si>
    <t>Game Night</t>
  </si>
  <si>
    <t>1 Fomori Vault (BIG) 29</t>
  </si>
  <si>
    <t>G18</t>
  </si>
  <si>
    <t>Gift Pack</t>
  </si>
  <si>
    <t>1 Loot, the Key to Everything (BIG) 21</t>
  </si>
  <si>
    <t>GRN</t>
  </si>
  <si>
    <t>Guilds of Ravnica</t>
  </si>
  <si>
    <t>1 Lost Jitte (BIG) 23</t>
  </si>
  <si>
    <t>MPS_GRN</t>
  </si>
  <si>
    <t>Guilds of Ravnica Mythic Edition</t>
  </si>
  <si>
    <t>1 Lotus Ring (BIG) 24</t>
  </si>
  <si>
    <t>GK1_BOROS</t>
  </si>
  <si>
    <t>Guild Kit: Boros</t>
  </si>
  <si>
    <t>2 Tarnation Vista (BIG) 30</t>
  </si>
  <si>
    <t>GK1_DIMIR</t>
  </si>
  <si>
    <t>Guild Kit: Dimir</t>
  </si>
  <si>
    <t>1 Worldwalker Helm (BIG) 7</t>
  </si>
  <si>
    <t>GK1_GOLGAR</t>
  </si>
  <si>
    <t>Guild Kit: Golgari</t>
  </si>
  <si>
    <t>1 Aclazotz, Deepest Betrayal // Temple of the Dead (LCI) 88</t>
  </si>
  <si>
    <t>GK1_IZZET</t>
  </si>
  <si>
    <t>Guild Kit: Izzet</t>
  </si>
  <si>
    <t>1 Amalia Benavides Aguirre (LCI) 221</t>
  </si>
  <si>
    <t>GK1_SELESN</t>
  </si>
  <si>
    <t>Guild Kit: Selesnya</t>
  </si>
  <si>
    <t>1 Chimil, the Inner Sun (LCI) 249</t>
  </si>
  <si>
    <t>C18</t>
  </si>
  <si>
    <t>Commander 2018</t>
  </si>
  <si>
    <t>1 Matzalantli, the Great Door // The Core (LCI) 256</t>
  </si>
  <si>
    <t>M19</t>
  </si>
  <si>
    <t>Core Set 2019</t>
  </si>
  <si>
    <t>1 Scytheclaw Raptor (LCI) 165</t>
  </si>
  <si>
    <t>GS1</t>
  </si>
  <si>
    <t>Global Series: Jiang Yanggu and Mu Yanling</t>
  </si>
  <si>
    <t>1 Tectonic Hazard (LCI) 169</t>
  </si>
  <si>
    <t>SS1</t>
  </si>
  <si>
    <t>Signature Spellbook: Jace</t>
  </si>
  <si>
    <t>1 Carmen, Cruel Skymarcher (LCC) 5</t>
  </si>
  <si>
    <t>CM2</t>
  </si>
  <si>
    <t>Commander Anthology Volume II</t>
  </si>
  <si>
    <t>3 Charismatic Conqueror (LCC) 70</t>
  </si>
  <si>
    <t>BBD</t>
  </si>
  <si>
    <t>Battlebond</t>
  </si>
  <si>
    <t>1 Illustrious Wanderglyph (LCC) 9</t>
  </si>
  <si>
    <t>DOM</t>
  </si>
  <si>
    <t>Dominaria</t>
  </si>
  <si>
    <t>1 Norin the Wary (TSP) 171</t>
  </si>
  <si>
    <t>DDU</t>
  </si>
  <si>
    <t>Duel Decks: Elves vs. Inventors</t>
  </si>
  <si>
    <t>1 Big Game Hunter (TSR) 102</t>
  </si>
  <si>
    <t>A25</t>
  </si>
  <si>
    <t>Masters 25</t>
  </si>
  <si>
    <t>1 Visions of Beyond (UMA) 81</t>
  </si>
  <si>
    <t>RIX</t>
  </si>
  <si>
    <t>Rivals of Ixalan</t>
  </si>
  <si>
    <t>1 Hylda's Crown of Winter (WOE) 247</t>
  </si>
  <si>
    <t>J18</t>
  </si>
  <si>
    <t>Judge Promos 2018</t>
  </si>
  <si>
    <t>1 Far Wanderings (ZNC) 66</t>
  </si>
  <si>
    <t>UST</t>
  </si>
  <si>
    <t>Unstable</t>
  </si>
  <si>
    <t>E02</t>
  </si>
  <si>
    <t>Explorers of Ixalan</t>
  </si>
  <si>
    <t>V17</t>
  </si>
  <si>
    <t>From the Vault: Transform</t>
  </si>
  <si>
    <t>IMA</t>
  </si>
  <si>
    <t>Iconic Masters</t>
  </si>
  <si>
    <t>DDT</t>
  </si>
  <si>
    <t>Duel Decks: Merfolk vs. Goblins</t>
  </si>
  <si>
    <t>XLN</t>
  </si>
  <si>
    <t>Ixalan</t>
  </si>
  <si>
    <t>HTR</t>
  </si>
  <si>
    <t>Heroes of the Realm</t>
  </si>
  <si>
    <t>H17</t>
  </si>
  <si>
    <t>HASCON 2017</t>
  </si>
  <si>
    <t>C17</t>
  </si>
  <si>
    <t>Commander 2017</t>
  </si>
  <si>
    <t>HOU</t>
  </si>
  <si>
    <t>Hour of Devastation</t>
  </si>
  <si>
    <t>E01</t>
  </si>
  <si>
    <t>Archenemy: Nicol Bolas</t>
  </si>
  <si>
    <t>CMA</t>
  </si>
  <si>
    <t>Commander Anthology</t>
  </si>
  <si>
    <t>AKH</t>
  </si>
  <si>
    <t>Amonkhet</t>
  </si>
  <si>
    <t>MPS_AKH</t>
  </si>
  <si>
    <t>Masterpiece Series: Amonkhet Invocations</t>
  </si>
  <si>
    <t>W17</t>
  </si>
  <si>
    <t>Welcome Deck 2017</t>
  </si>
  <si>
    <t>DDS</t>
  </si>
  <si>
    <t>Duel Decks: Mind vs. Might</t>
  </si>
  <si>
    <t>MM3</t>
  </si>
  <si>
    <t>Modern Masters 2017 Edition</t>
  </si>
  <si>
    <t>AER</t>
  </si>
  <si>
    <t>Aether Revolt</t>
  </si>
  <si>
    <t>J17</t>
  </si>
  <si>
    <t>Judge Promos 2017</t>
  </si>
  <si>
    <t>PCA</t>
  </si>
  <si>
    <t>Planechase Anthology</t>
  </si>
  <si>
    <t>C16</t>
  </si>
  <si>
    <t>Commander 2016</t>
  </si>
  <si>
    <t>KLD</t>
  </si>
  <si>
    <t>Kaladesh</t>
  </si>
  <si>
    <t>MPS_KLD</t>
  </si>
  <si>
    <t>Masterpiece Series: Kaladesh Inventions</t>
  </si>
  <si>
    <t>PZ2</t>
  </si>
  <si>
    <t>Magic Online Treasure Chest</t>
  </si>
  <si>
    <t>PZ1</t>
  </si>
  <si>
    <t>Legendary Cube</t>
  </si>
  <si>
    <t>DDR</t>
  </si>
  <si>
    <t>Duel Decks: Nissa vs. Ob Nixilis</t>
  </si>
  <si>
    <t>CN2</t>
  </si>
  <si>
    <t>Conspiracy: Take the Crown</t>
  </si>
  <si>
    <t>V16</t>
  </si>
  <si>
    <t>From the Vault: Lore</t>
  </si>
  <si>
    <t>EMN</t>
  </si>
  <si>
    <t>Eldritch Moon</t>
  </si>
  <si>
    <t>EMA</t>
  </si>
  <si>
    <t>Eternal Masters</t>
  </si>
  <si>
    <t>SOI</t>
  </si>
  <si>
    <t>Shadows over Innistrad</t>
  </si>
  <si>
    <t>W16</t>
  </si>
  <si>
    <t>Welcome Deck 2016</t>
  </si>
  <si>
    <t>MTGO</t>
  </si>
  <si>
    <t>Magic Online Promos</t>
  </si>
  <si>
    <t>DDQ</t>
  </si>
  <si>
    <t>Duel Decks: Blessed vs. Cursed</t>
  </si>
  <si>
    <t>OGW</t>
  </si>
  <si>
    <t>Oath of the Gatewatch</t>
  </si>
  <si>
    <t>J16</t>
  </si>
  <si>
    <t>Judge Promos 2016</t>
  </si>
  <si>
    <t>C15</t>
  </si>
  <si>
    <t>Commander 2015</t>
  </si>
  <si>
    <t>EXP</t>
  </si>
  <si>
    <t>Zendikar Expeditions</t>
  </si>
  <si>
    <t>BFZ</t>
  </si>
  <si>
    <t>Battle for Zendikar</t>
  </si>
  <si>
    <t>DDP</t>
  </si>
  <si>
    <t>Duel Decks: Zendikar vs. Eldrazi</t>
  </si>
  <si>
    <t>V15</t>
  </si>
  <si>
    <t>From the Vault: Angels</t>
  </si>
  <si>
    <t>CP3</t>
  </si>
  <si>
    <t>Magic Origins Clash Pack</t>
  </si>
  <si>
    <t>ORI</t>
  </si>
  <si>
    <t>Magic Origins</t>
  </si>
  <si>
    <t>MM2</t>
  </si>
  <si>
    <t>Modern Masters (2015 Edition)</t>
  </si>
  <si>
    <t>TPR</t>
  </si>
  <si>
    <t>Tempest Remastered</t>
  </si>
  <si>
    <t>DTK</t>
  </si>
  <si>
    <t>Dragons of Tarkir</t>
  </si>
  <si>
    <t>DDO</t>
  </si>
  <si>
    <t>Duel Decks: Elspeth vs. Kiora</t>
  </si>
  <si>
    <t>CP2</t>
  </si>
  <si>
    <t>Fate Reforged Clash Pack</t>
  </si>
  <si>
    <t>FRF</t>
  </si>
  <si>
    <t>Fate Reforged</t>
  </si>
  <si>
    <t>UFP</t>
  </si>
  <si>
    <t>Ugin's Fate Promos</t>
  </si>
  <si>
    <t>J15</t>
  </si>
  <si>
    <t>Judge Promos 2015</t>
  </si>
  <si>
    <t>DD3_GVL</t>
  </si>
  <si>
    <t>Duel Decks Anthology: Garruk vs. Liliana</t>
  </si>
  <si>
    <t>DD3_DVD</t>
  </si>
  <si>
    <t>Duel Decks Anthology: Divine vs. Demonic</t>
  </si>
  <si>
    <t>DD3_JVC</t>
  </si>
  <si>
    <t>Duel Decks Anthology: Jace vs. Chandra</t>
  </si>
  <si>
    <t>DD3_EVG</t>
  </si>
  <si>
    <t>Duel Decks Anthology: Elves vs. Goblins</t>
  </si>
  <si>
    <t>C14</t>
  </si>
  <si>
    <t>Commander 2014</t>
  </si>
  <si>
    <t>KTK</t>
  </si>
  <si>
    <t>Khans of Tarkir</t>
  </si>
  <si>
    <t>DDN</t>
  </si>
  <si>
    <t>Duel Decks: Speed vs. Cunning</t>
  </si>
  <si>
    <t>V14</t>
  </si>
  <si>
    <t>From the Vault: Annihilation</t>
  </si>
  <si>
    <t>CP1</t>
  </si>
  <si>
    <t>Magic 2015 Clash Pack</t>
  </si>
  <si>
    <t>M15</t>
  </si>
  <si>
    <t>Magic 2015</t>
  </si>
  <si>
    <t>PRE</t>
  </si>
  <si>
    <t>Prerelease Cards</t>
  </si>
  <si>
    <t>D15</t>
  </si>
  <si>
    <t>Duels of the Planeswalkers 2015</t>
  </si>
  <si>
    <t>FNM</t>
  </si>
  <si>
    <t>Friday Night Magic Promos</t>
  </si>
  <si>
    <t>VMA</t>
  </si>
  <si>
    <t>Vintage Masters</t>
  </si>
  <si>
    <t>CNS</t>
  </si>
  <si>
    <t>Conspiracy</t>
  </si>
  <si>
    <t>MD1</t>
  </si>
  <si>
    <t>Modern Event Deck 2014</t>
  </si>
  <si>
    <t>MPT</t>
  </si>
  <si>
    <t>Magic ProTour</t>
  </si>
  <si>
    <t>JOU</t>
  </si>
  <si>
    <t>Journey into Nyx</t>
  </si>
  <si>
    <t>DDM</t>
  </si>
  <si>
    <t>Duel Decks: Jace vs. Vraska</t>
  </si>
  <si>
    <t>BNG</t>
  </si>
  <si>
    <t>Born of the Gods</t>
  </si>
  <si>
    <t>C13</t>
  </si>
  <si>
    <t>Commander 2013</t>
  </si>
  <si>
    <t>THS</t>
  </si>
  <si>
    <t>Theros</t>
  </si>
  <si>
    <t>DDL</t>
  </si>
  <si>
    <t>Duel Decks: Heroes vs. Monsters</t>
  </si>
  <si>
    <t>V13</t>
  </si>
  <si>
    <t>From the Vault: Twenty</t>
  </si>
  <si>
    <t>M14</t>
  </si>
  <si>
    <t>Magic 2014</t>
  </si>
  <si>
    <t>D14</t>
  </si>
  <si>
    <t>Duels of the Planeswalkers 2014</t>
  </si>
  <si>
    <t>MMA</t>
  </si>
  <si>
    <t>Modern Masters</t>
  </si>
  <si>
    <t>DGM</t>
  </si>
  <si>
    <t>Dragon's Maze</t>
  </si>
  <si>
    <t>DDK</t>
  </si>
  <si>
    <t>Duel Decks: Sorin vs. Tibalt</t>
  </si>
  <si>
    <t>GTC</t>
  </si>
  <si>
    <t>Gatecrash</t>
  </si>
  <si>
    <t>CM1</t>
  </si>
  <si>
    <t>Commander's Arsenal</t>
  </si>
  <si>
    <t>RTR</t>
  </si>
  <si>
    <t>Return to Ravnica</t>
  </si>
  <si>
    <t>DDJ</t>
  </si>
  <si>
    <t>Duel Decks: Izzet vs. Golgari</t>
  </si>
  <si>
    <t>V12</t>
  </si>
  <si>
    <t>From the Vault: Realms</t>
  </si>
  <si>
    <t>M13</t>
  </si>
  <si>
    <t>Magic 2013</t>
  </si>
  <si>
    <t>D13</t>
  </si>
  <si>
    <t>Duels of the Planeswalkers 2013</t>
  </si>
  <si>
    <t>PC2</t>
  </si>
  <si>
    <t>Planechase 2012</t>
  </si>
  <si>
    <t>AVR</t>
  </si>
  <si>
    <t>Avacyn Restored</t>
  </si>
  <si>
    <t>DDI</t>
  </si>
  <si>
    <t>Duel Decks: Venser vs. Koth</t>
  </si>
  <si>
    <t>DKA</t>
  </si>
  <si>
    <t>Dark Ascension</t>
  </si>
  <si>
    <t>PD3</t>
  </si>
  <si>
    <t>Premium Deck Series: Graveborn</t>
  </si>
  <si>
    <t>ISD</t>
  </si>
  <si>
    <t>Innistrad</t>
  </si>
  <si>
    <t>DDH</t>
  </si>
  <si>
    <t>Duel Decks: Ajani vs. Nicol Bolas</t>
  </si>
  <si>
    <t>V11</t>
  </si>
  <si>
    <t>From the Vault: Legends</t>
  </si>
  <si>
    <t>M12</t>
  </si>
  <si>
    <t>Magic 2012</t>
  </si>
  <si>
    <t>CMD</t>
  </si>
  <si>
    <t>Commander</t>
  </si>
  <si>
    <t>NPH</t>
  </si>
  <si>
    <t>New Phyrexia</t>
  </si>
  <si>
    <t>DDG</t>
  </si>
  <si>
    <t>Duel Decks: Knights vs. Dragons</t>
  </si>
  <si>
    <t>MBS</t>
  </si>
  <si>
    <t>Mirrodin Besieged</t>
  </si>
  <si>
    <t>ME4</t>
  </si>
  <si>
    <t>Masters Edition IV</t>
  </si>
  <si>
    <t>PD2</t>
  </si>
  <si>
    <t>Premium Deck Series: Fire and Lightning</t>
  </si>
  <si>
    <t>SOM</t>
  </si>
  <si>
    <t>Scars of Mirrodin</t>
  </si>
  <si>
    <t>DDF</t>
  </si>
  <si>
    <t>Duel Decks: Elspeth vs. Tezzeret</t>
  </si>
  <si>
    <t>V10</t>
  </si>
  <si>
    <t>From the Vault: Relics</t>
  </si>
  <si>
    <t>M11</t>
  </si>
  <si>
    <t>Magic 2011</t>
  </si>
  <si>
    <t>ARC</t>
  </si>
  <si>
    <t>Archenemy</t>
  </si>
  <si>
    <t>PPR</t>
  </si>
  <si>
    <t>Promo set for Gatherer</t>
  </si>
  <si>
    <t>DPA</t>
  </si>
  <si>
    <t>Duels of the Planeswalkers</t>
  </si>
  <si>
    <t>ROE</t>
  </si>
  <si>
    <t>Rise of the Eldrazi</t>
  </si>
  <si>
    <t>DDE</t>
  </si>
  <si>
    <t>Duel Decks: Phyrexia vs. the Coalition</t>
  </si>
  <si>
    <t>WWK</t>
  </si>
  <si>
    <t>Worldwake</t>
  </si>
  <si>
    <t>H09</t>
  </si>
  <si>
    <t>Premium Deck Series: Slivers</t>
  </si>
  <si>
    <t>DDD</t>
  </si>
  <si>
    <t>Duel Decks: Garruk vs. Liliana</t>
  </si>
  <si>
    <t>ZEN</t>
  </si>
  <si>
    <t>Zendikar</t>
  </si>
  <si>
    <t>ME3</t>
  </si>
  <si>
    <t>Masters Edition III</t>
  </si>
  <si>
    <t>HOP</t>
  </si>
  <si>
    <t>Planechase</t>
  </si>
  <si>
    <t>V09</t>
  </si>
  <si>
    <t>From the Vault: Exiled</t>
  </si>
  <si>
    <t>M10</t>
  </si>
  <si>
    <t>Magic 2010</t>
  </si>
  <si>
    <t>ARB</t>
  </si>
  <si>
    <t>Alara Reborn</t>
  </si>
  <si>
    <t>DDC</t>
  </si>
  <si>
    <t>Duel Decks: Divine vs. Demonic</t>
  </si>
  <si>
    <t>CON</t>
  </si>
  <si>
    <t>Conflux</t>
  </si>
  <si>
    <t>DD2</t>
  </si>
  <si>
    <t>Duel Decks: Jace vs. Chandra</t>
  </si>
  <si>
    <t>ALA</t>
  </si>
  <si>
    <t>Shards of Alara</t>
  </si>
  <si>
    <t>ME2</t>
  </si>
  <si>
    <t>Masters Edition II</t>
  </si>
  <si>
    <t>DRB</t>
  </si>
  <si>
    <t>From the Vault: Dragons</t>
  </si>
  <si>
    <t>EVE</t>
  </si>
  <si>
    <t>Eventide</t>
  </si>
  <si>
    <t>SHM</t>
  </si>
  <si>
    <t>Shadowmoor</t>
  </si>
  <si>
    <t>MOR</t>
  </si>
  <si>
    <t>Morningtide</t>
  </si>
  <si>
    <t>EVG</t>
  </si>
  <si>
    <t>Duel Decks: Elves vs. Goblins</t>
  </si>
  <si>
    <t>LRW</t>
  </si>
  <si>
    <t>Lorwyn</t>
  </si>
  <si>
    <t>ME1</t>
  </si>
  <si>
    <t>Masters Edition</t>
  </si>
  <si>
    <t>10E</t>
  </si>
  <si>
    <t>10th Edition</t>
  </si>
  <si>
    <t>FUT</t>
  </si>
  <si>
    <t>Future Sight</t>
  </si>
  <si>
    <t>PLC</t>
  </si>
  <si>
    <t>Planar Chaos</t>
  </si>
  <si>
    <t>TSB</t>
  </si>
  <si>
    <t>Timeshifted</t>
  </si>
  <si>
    <t>TSP</t>
  </si>
  <si>
    <t>Time Spiral</t>
  </si>
  <si>
    <t>CSP</t>
  </si>
  <si>
    <t>Coldsnap</t>
  </si>
  <si>
    <t>GPP</t>
  </si>
  <si>
    <t>Grand Prix Promos</t>
  </si>
  <si>
    <t>DIS</t>
  </si>
  <si>
    <t>Dissension</t>
  </si>
  <si>
    <t>pHUK</t>
  </si>
  <si>
    <t>Hachette UK Magic Encyclopedia Inserts</t>
  </si>
  <si>
    <t>GPT</t>
  </si>
  <si>
    <t>Guildpact</t>
  </si>
  <si>
    <t>DCI</t>
  </si>
  <si>
    <t>DCI Promo</t>
  </si>
  <si>
    <t>pMPS</t>
  </si>
  <si>
    <t>Magic Premiere Shop</t>
  </si>
  <si>
    <t>RAV</t>
  </si>
  <si>
    <t>Ravnica: City of Guilds</t>
  </si>
  <si>
    <t>9ED</t>
  </si>
  <si>
    <t>9th Edition</t>
  </si>
  <si>
    <t>SOK</t>
  </si>
  <si>
    <t>Saviors of Kamigawa</t>
  </si>
  <si>
    <t>BOK</t>
  </si>
  <si>
    <t>Betrayers of Kamigawa</t>
  </si>
  <si>
    <t>WC04-04</t>
  </si>
  <si>
    <t>World Championship 2004: Gabriel Nassif</t>
  </si>
  <si>
    <t>WC04-03</t>
  </si>
  <si>
    <t>World Championship 2004: Manuel Bevand</t>
  </si>
  <si>
    <t>WC04-02</t>
  </si>
  <si>
    <t>World Championship 2004: Aeo Paquette</t>
  </si>
  <si>
    <t>WC04-01</t>
  </si>
  <si>
    <t>World Championship 2004: Julien Nuijten</t>
  </si>
  <si>
    <t>UNH</t>
  </si>
  <si>
    <t>Unhinged</t>
  </si>
  <si>
    <t>CHK</t>
  </si>
  <si>
    <t>Champions of Kamigawa</t>
  </si>
  <si>
    <t>5DN</t>
  </si>
  <si>
    <t>Fifth Dawn</t>
  </si>
  <si>
    <t>DST</t>
  </si>
  <si>
    <t>Darksteel</t>
  </si>
  <si>
    <t>WC03-04</t>
  </si>
  <si>
    <t>World Championship 2003: Wolfgang Eder</t>
  </si>
  <si>
    <t>WC03-03</t>
  </si>
  <si>
    <t>World Championship 2003: Peer Kröger</t>
  </si>
  <si>
    <t>WC03-02</t>
  </si>
  <si>
    <t>World Championship 2003: Dave Humpherys</t>
  </si>
  <si>
    <t>WC03-01</t>
  </si>
  <si>
    <t>World Championship 2003: Daniel Zink</t>
  </si>
  <si>
    <t>MRD</t>
  </si>
  <si>
    <t>Mirrodin</t>
  </si>
  <si>
    <t>8ED</t>
  </si>
  <si>
    <t>8th Edition</t>
  </si>
  <si>
    <t>SCG</t>
  </si>
  <si>
    <t>Scourge</t>
  </si>
  <si>
    <t>LGN</t>
  </si>
  <si>
    <t>Legions</t>
  </si>
  <si>
    <t>WC02-04</t>
  </si>
  <si>
    <t>World Championship 2002: Raphael Levy</t>
  </si>
  <si>
    <t>WC02-03</t>
  </si>
  <si>
    <t>World Championship 2002: Brian Kibler</t>
  </si>
  <si>
    <t>WC02-02</t>
  </si>
  <si>
    <t>World Championship 2002: Sim Han How</t>
  </si>
  <si>
    <t>WC02-01</t>
  </si>
  <si>
    <t>World Championship 2002: Carlos Romão</t>
  </si>
  <si>
    <t>ONS</t>
  </si>
  <si>
    <t>Onslaught</t>
  </si>
  <si>
    <t>JUD</t>
  </si>
  <si>
    <t>Judgment</t>
  </si>
  <si>
    <t>TOR</t>
  </si>
  <si>
    <t>Torment</t>
  </si>
  <si>
    <t>WC01-04</t>
  </si>
  <si>
    <t>World Championship 2001: Jan Tomcani</t>
  </si>
  <si>
    <t>WC01-03</t>
  </si>
  <si>
    <t>World Championship 2001: Antoine Ruel</t>
  </si>
  <si>
    <t>WC01-02</t>
  </si>
  <si>
    <t>World Championship 2001: Alex Borteh</t>
  </si>
  <si>
    <t>DKM</t>
  </si>
  <si>
    <t>Deckmasters: Garfield vs. Finkel</t>
  </si>
  <si>
    <t>WC01-01</t>
  </si>
  <si>
    <t>World Championship 2001: Tom van de Logt</t>
  </si>
  <si>
    <t>OD</t>
  </si>
  <si>
    <t>Odyssey</t>
  </si>
  <si>
    <t>TD0</t>
  </si>
  <si>
    <t>Theme Deck Set</t>
  </si>
  <si>
    <t>TD2</t>
  </si>
  <si>
    <t>Duel Decks: Mirrodin Pure vs. New Phyrexia</t>
  </si>
  <si>
    <t>SDC</t>
  </si>
  <si>
    <t>Sega Dreamcast</t>
  </si>
  <si>
    <t>AP</t>
  </si>
  <si>
    <t>Apocalypse</t>
  </si>
  <si>
    <t>7E</t>
  </si>
  <si>
    <t>7th Edition</t>
  </si>
  <si>
    <t>GURU</t>
  </si>
  <si>
    <t>Guru Program</t>
  </si>
  <si>
    <t>PS</t>
  </si>
  <si>
    <t>Planeshift</t>
  </si>
  <si>
    <t>MPR</t>
  </si>
  <si>
    <t>Magic Player Rewards</t>
  </si>
  <si>
    <t>WC00-04</t>
  </si>
  <si>
    <t>World Championship 2000: Nicolas Labarre</t>
  </si>
  <si>
    <t>WC00-03</t>
  </si>
  <si>
    <t>World Championship 2000: Tom van de Logt</t>
  </si>
  <si>
    <t>WC00-02</t>
  </si>
  <si>
    <t>World Championship 2000: Janosch Kühn</t>
  </si>
  <si>
    <t>BD</t>
  </si>
  <si>
    <t>Beatdown Box Set</t>
  </si>
  <si>
    <t>WC00-01</t>
  </si>
  <si>
    <t>World Championship 2000: John Finkel</t>
  </si>
  <si>
    <t>IN</t>
  </si>
  <si>
    <t>Invasion</t>
  </si>
  <si>
    <t>P4</t>
  </si>
  <si>
    <t>Starter 2000</t>
  </si>
  <si>
    <t>PR</t>
  </si>
  <si>
    <t>Prophecy</t>
  </si>
  <si>
    <t>NE</t>
  </si>
  <si>
    <t>Nemesis</t>
  </si>
  <si>
    <t>WC99-04</t>
  </si>
  <si>
    <t>World Championship 1999: Jakub Šlemr</t>
  </si>
  <si>
    <t>WC99-03</t>
  </si>
  <si>
    <t>World Championship 1999: Matt Linde</t>
  </si>
  <si>
    <t>WC99-02</t>
  </si>
  <si>
    <t>World Championship 1999: Mark Le Pine</t>
  </si>
  <si>
    <t>WC99-01</t>
  </si>
  <si>
    <t>World Championship 1999: Kai Budde</t>
  </si>
  <si>
    <t>BR</t>
  </si>
  <si>
    <t>Battle Royale Box Set</t>
  </si>
  <si>
    <t>MM</t>
  </si>
  <si>
    <t>Mercadian Masques</t>
  </si>
  <si>
    <t>P3</t>
  </si>
  <si>
    <t>Starter 1999</t>
  </si>
  <si>
    <t>CG</t>
  </si>
  <si>
    <t>Urza's Destiny</t>
  </si>
  <si>
    <t>PK</t>
  </si>
  <si>
    <t>Portal Three Kingdoms</t>
  </si>
  <si>
    <t>6E</t>
  </si>
  <si>
    <t>Classic Sixth Edition</t>
  </si>
  <si>
    <t>GU</t>
  </si>
  <si>
    <t>Urza's Legacy</t>
  </si>
  <si>
    <t>WC98-04</t>
  </si>
  <si>
    <t>World Championship 1998: Randy Buehler</t>
  </si>
  <si>
    <t>WC98-03</t>
  </si>
  <si>
    <t>World Championship 1998: Brian Hacker</t>
  </si>
  <si>
    <t>WC98-02</t>
  </si>
  <si>
    <t>World Championship 1998: Ben Rubin</t>
  </si>
  <si>
    <t>WC98-01</t>
  </si>
  <si>
    <t>World Championship 1998: Brian Selden</t>
  </si>
  <si>
    <t>ATH</t>
  </si>
  <si>
    <t>Anthologies</t>
  </si>
  <si>
    <t>UZ</t>
  </si>
  <si>
    <t>Urza's Saga</t>
  </si>
  <si>
    <t>UG</t>
  </si>
  <si>
    <t>Unglued</t>
  </si>
  <si>
    <t>EX</t>
  </si>
  <si>
    <t>Exodus</t>
  </si>
  <si>
    <t>P2</t>
  </si>
  <si>
    <t>Portal Second Age</t>
  </si>
  <si>
    <t>ST</t>
  </si>
  <si>
    <t>Stronghold</t>
  </si>
  <si>
    <t>IDW</t>
  </si>
  <si>
    <t>IDW Promo</t>
  </si>
  <si>
    <t>WC97-04</t>
  </si>
  <si>
    <t>World Championship 1997: Svend Geertsen</t>
  </si>
  <si>
    <t>WC97-03</t>
  </si>
  <si>
    <t>World Championship 1997: Paul McCabe</t>
  </si>
  <si>
    <t>WC97-02</t>
  </si>
  <si>
    <t>World Championship 1997: Janosch Kühn</t>
  </si>
  <si>
    <t>WC97-01</t>
  </si>
  <si>
    <t>World Championship 1997: Jakub Šlemr</t>
  </si>
  <si>
    <t>TE</t>
  </si>
  <si>
    <t>Tempest</t>
  </si>
  <si>
    <t>WL</t>
  </si>
  <si>
    <t>Weatherlight</t>
  </si>
  <si>
    <t>PO</t>
  </si>
  <si>
    <t>Portal</t>
  </si>
  <si>
    <t>AST</t>
  </si>
  <si>
    <t>Astral</t>
  </si>
  <si>
    <t>5E</t>
  </si>
  <si>
    <t>Fifth Edition</t>
  </si>
  <si>
    <t>VI</t>
  </si>
  <si>
    <t>Visions</t>
  </si>
  <si>
    <t>VAN</t>
  </si>
  <si>
    <t>Vanguard</t>
  </si>
  <si>
    <t>PT96-08</t>
  </si>
  <si>
    <t>Pro Tour 1996: Mark Justice</t>
  </si>
  <si>
    <t>PT96-07</t>
  </si>
  <si>
    <t>Pro Tour 1996: Preston Poulter</t>
  </si>
  <si>
    <t>PT96-06</t>
  </si>
  <si>
    <t>Pro Tour 1996: George Baxter</t>
  </si>
  <si>
    <t>PT96-05</t>
  </si>
  <si>
    <t>Pro Tour 1996: Leon Lindback</t>
  </si>
  <si>
    <t>PT96-04</t>
  </si>
  <si>
    <t>Pro Tour 1996: Shawn Regnier</t>
  </si>
  <si>
    <t>PT96-03</t>
  </si>
  <si>
    <t>Pro Tour 1996: Bertrand Lestree</t>
  </si>
  <si>
    <t>PT96-02</t>
  </si>
  <si>
    <t>Pro Tour 1996: Eric Tam</t>
  </si>
  <si>
    <t>PT96-01</t>
  </si>
  <si>
    <t>Pro Tour 1996: Michael Loconto</t>
  </si>
  <si>
    <t>I2P</t>
  </si>
  <si>
    <t>Introductory Two-Player Set</t>
  </si>
  <si>
    <t>MI</t>
  </si>
  <si>
    <t>Mirage</t>
  </si>
  <si>
    <t>ARENA</t>
  </si>
  <si>
    <t>Arena League</t>
  </si>
  <si>
    <t>AL</t>
  </si>
  <si>
    <t>Alliances</t>
  </si>
  <si>
    <t>HM</t>
  </si>
  <si>
    <t>Homelands</t>
  </si>
  <si>
    <t>CH</t>
  </si>
  <si>
    <t>Chronicles</t>
  </si>
  <si>
    <t>IA</t>
  </si>
  <si>
    <t>Ice Age</t>
  </si>
  <si>
    <t>4E</t>
  </si>
  <si>
    <t>Fourth Edition</t>
  </si>
  <si>
    <t>FE</t>
  </si>
  <si>
    <t>Fallen Empires</t>
  </si>
  <si>
    <t>DK</t>
  </si>
  <si>
    <t>The Dark</t>
  </si>
  <si>
    <t>Edgar (Summer Magic)</t>
  </si>
  <si>
    <t>LE</t>
  </si>
  <si>
    <t>Legends</t>
  </si>
  <si>
    <t>3E</t>
  </si>
  <si>
    <t>Revised Edition</t>
  </si>
  <si>
    <t>AQ</t>
  </si>
  <si>
    <t>Antiquities</t>
  </si>
  <si>
    <t>PRM</t>
  </si>
  <si>
    <t>Promotional</t>
  </si>
  <si>
    <t>AN</t>
  </si>
  <si>
    <t>Arabian Nights</t>
  </si>
  <si>
    <t>CED</t>
  </si>
  <si>
    <t>Collector's Edition</t>
  </si>
  <si>
    <t>2U</t>
  </si>
  <si>
    <t>Unlimited Edition</t>
  </si>
  <si>
    <t>2E</t>
  </si>
  <si>
    <t>Beta Edition</t>
  </si>
  <si>
    <t>1E</t>
  </si>
  <si>
    <t>Alpha Edition</t>
  </si>
  <si>
    <t>Own</t>
  </si>
  <si>
    <t>Under construction</t>
  </si>
  <si>
    <t>To build</t>
  </si>
  <si>
    <t>To finish</t>
  </si>
  <si>
    <t>Decks</t>
  </si>
  <si>
    <t>Colorless</t>
  </si>
  <si>
    <t xml:space="preserve">Liberator, Urza's Battlethopter </t>
  </si>
  <si>
    <t>Mono Black</t>
  </si>
  <si>
    <t>1/1 death</t>
  </si>
  <si>
    <t>Mono Red</t>
  </si>
  <si>
    <t>Plargg and Nassari</t>
  </si>
  <si>
    <t>Mono Green</t>
  </si>
  <si>
    <t>Sasaya</t>
  </si>
  <si>
    <t>Mono Blue</t>
  </si>
  <si>
    <t>Mono White</t>
  </si>
  <si>
    <t>Azorius</t>
  </si>
  <si>
    <t>Taigam</t>
  </si>
  <si>
    <t>Orzhov</t>
  </si>
  <si>
    <t>Selesnya</t>
  </si>
  <si>
    <t>Synthis</t>
  </si>
  <si>
    <t>Boros</t>
  </si>
  <si>
    <t>Gruul</t>
  </si>
  <si>
    <t>Wort</t>
  </si>
  <si>
    <t>https://edhrec.com/commanders/durnan-of-the-yawning-portal-passionate-archaeologist</t>
  </si>
  <si>
    <t>Izzet</t>
  </si>
  <si>
    <t>Rakdos</t>
  </si>
  <si>
    <t>Golgari</t>
  </si>
  <si>
    <t>Dimir</t>
  </si>
  <si>
    <t>Oona</t>
  </si>
  <si>
    <t>Simic</t>
  </si>
  <si>
    <t>Sakashima &amp; Kodama East Tree</t>
  </si>
  <si>
    <t>Abzan</t>
  </si>
  <si>
    <t>Life Gain</t>
  </si>
  <si>
    <t>Abzan 2</t>
  </si>
  <si>
    <t>Netheroi</t>
  </si>
  <si>
    <t>Bant</t>
  </si>
  <si>
    <t>Esper</t>
  </si>
  <si>
    <t>Grixis</t>
  </si>
  <si>
    <t>Jeskai</t>
  </si>
  <si>
    <t>Earthquak tribal</t>
  </si>
  <si>
    <t>Jund</t>
  </si>
  <si>
    <t>Ziatora The Incinerator</t>
  </si>
  <si>
    <t>https://edhrec.com/commanders/ziatora-the-incinerator?f=in%3DBall%20Lightning%3Bin%3DGwenna%2C%20Eyes%20of%20Gaea</t>
  </si>
  <si>
    <t>Mardu</t>
  </si>
  <si>
    <t>Naya</t>
  </si>
  <si>
    <t>JetMir</t>
  </si>
  <si>
    <t>Sultai</t>
  </si>
  <si>
    <t>Damia</t>
  </si>
  <si>
    <t>Temur</t>
  </si>
  <si>
    <t>Ghidorah</t>
  </si>
  <si>
    <t>Glint -W</t>
  </si>
  <si>
    <t>-1/-1 counters</t>
  </si>
  <si>
    <t>Dune -B</t>
  </si>
  <si>
    <t>Ink -B</t>
  </si>
  <si>
    <t>Omnath</t>
  </si>
  <si>
    <t>Witch -R</t>
  </si>
  <si>
    <t>Alll the counters</t>
  </si>
  <si>
    <t>Yore - G</t>
  </si>
  <si>
    <t>WURBG</t>
  </si>
  <si>
    <t>Scion The ur dragon</t>
  </si>
  <si>
    <t>Goal</t>
  </si>
  <si>
    <t>Deck Names</t>
  </si>
  <si>
    <t>Losses</t>
  </si>
  <si>
    <t>Selected Deck:</t>
  </si>
  <si>
    <t xml:space="preserve">Damia, Sage of Stone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</si>
</sst>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 HH:mm"/>
    <numFmt numFmtId="165" formatCode="0.0"/>
    <numFmt numFmtId="166" formatCode="dd-mm"/>
    <numFmt numFmtId="167" formatCode="d&quot;-&quot;mmm"/>
    <numFmt numFmtId="168" formatCode="d-m"/>
  </numFmts>
  <fonts count="33">
    <font>
      <sz val="11.0"/>
      <color rgb="FF000000"/>
      <name val="Calibri"/>
      <scheme val="minor"/>
    </font>
    <font>
      <b/>
      <color theme="1"/>
      <name val="Calibri"/>
      <scheme val="minor"/>
    </font>
    <font>
      <b/>
      <color theme="1"/>
      <name val="Arial"/>
    </font>
    <font/>
    <font>
      <b/>
      <sz val="10.0"/>
      <color theme="1"/>
      <name val="Calibri"/>
      <scheme val="minor"/>
    </font>
    <font>
      <color rgb="FFFF0000"/>
      <name val="Calibri"/>
      <scheme val="minor"/>
    </font>
    <font>
      <b/>
      <color rgb="FFFFFFFF"/>
      <name val="Calibri"/>
      <scheme val="minor"/>
    </font>
    <font>
      <color theme="1"/>
      <name val="Calibri"/>
      <scheme val="minor"/>
    </font>
    <font>
      <b/>
      <sz val="11.0"/>
      <color theme="1"/>
      <name val="Calibri"/>
    </font>
    <font>
      <b/>
      <sz val="11.0"/>
      <color rgb="FFFFFFFF"/>
      <name val="Calibri"/>
    </font>
    <font>
      <color theme="1"/>
      <name val="Arial"/>
    </font>
    <font>
      <sz val="11.0"/>
      <color rgb="FF000000"/>
      <name val="&quot;docs-Calibri&quot;"/>
    </font>
    <font>
      <sz val="11.0"/>
      <color theme="1"/>
      <name val="Calibri"/>
    </font>
    <font>
      <sz val="11.0"/>
      <color rgb="FF000000"/>
      <name val="Calibri"/>
    </font>
    <font>
      <color rgb="FF000000"/>
      <name val="Calibri"/>
    </font>
    <font>
      <b/>
      <color rgb="FF000000"/>
      <name val="Calibri"/>
      <scheme val="minor"/>
    </font>
    <font>
      <b/>
      <sz val="10.0"/>
      <color rgb="FFFFFFFF"/>
      <name val="Calibri"/>
      <scheme val="minor"/>
    </font>
    <font>
      <color rgb="FF000000"/>
      <name val="Calibri"/>
      <scheme val="minor"/>
    </font>
    <font>
      <b/>
      <sz val="12.0"/>
      <color theme="1"/>
      <name val="Calibri"/>
      <scheme val="minor"/>
    </font>
    <font>
      <b/>
      <sz val="11.0"/>
      <color rgb="FF000000"/>
      <name val="Calibri"/>
    </font>
    <font>
      <sz val="12.0"/>
      <color rgb="FF000000"/>
      <name val="Calibri"/>
    </font>
    <font>
      <color rgb="FFCCCCCC"/>
      <name val="Calibri"/>
      <scheme val="minor"/>
    </font>
    <font>
      <sz val="13.0"/>
      <color theme="1"/>
      <name val="Calibri"/>
      <scheme val="minor"/>
    </font>
    <font>
      <sz val="13.0"/>
      <color theme="0"/>
      <name val="Calibri"/>
      <scheme val="minor"/>
    </font>
    <font>
      <sz val="13.0"/>
      <color rgb="FF000000"/>
      <name val="Calibri"/>
    </font>
    <font>
      <sz val="13.0"/>
      <color theme="1"/>
      <name val="Calibri"/>
    </font>
    <font>
      <sz val="13.0"/>
      <color theme="0"/>
      <name val="Calibri"/>
    </font>
    <font>
      <color rgb="FFF3F3F3"/>
      <name val="Calibri"/>
      <scheme val="minor"/>
    </font>
    <font>
      <color rgb="FFFFFFFF"/>
      <name val="Calibri"/>
      <scheme val="minor"/>
    </font>
    <font>
      <b/>
      <u/>
      <sz val="11.0"/>
      <color theme="1"/>
      <name val="Arial"/>
    </font>
    <font>
      <u/>
      <color rgb="FF0563C1"/>
    </font>
    <font>
      <u/>
      <color rgb="FF0000FF"/>
    </font>
    <font>
      <color rgb="FF000000"/>
      <name val="&quot;docs-Calibri&quot;"/>
    </font>
  </fonts>
  <fills count="23">
    <fill>
      <patternFill patternType="none"/>
    </fill>
    <fill>
      <patternFill patternType="lightGray"/>
    </fill>
    <fill>
      <patternFill patternType="solid">
        <fgColor rgb="FFFF0000"/>
        <bgColor rgb="FFFF0000"/>
      </patternFill>
    </fill>
    <fill>
      <patternFill patternType="solid">
        <fgColor rgb="FF666666"/>
        <bgColor rgb="FF666666"/>
      </patternFill>
    </fill>
    <fill>
      <patternFill patternType="solid">
        <fgColor rgb="FFFFF2CC"/>
        <bgColor rgb="FFFFF2CC"/>
      </patternFill>
    </fill>
    <fill>
      <patternFill patternType="solid">
        <fgColor rgb="FFD8D8D8"/>
        <bgColor rgb="FFD8D8D8"/>
      </patternFill>
    </fill>
    <fill>
      <patternFill patternType="solid">
        <fgColor rgb="FF0B5394"/>
        <bgColor rgb="FF0B5394"/>
      </patternFill>
    </fill>
    <fill>
      <patternFill patternType="solid">
        <fgColor rgb="FF434343"/>
        <bgColor rgb="FF434343"/>
      </patternFill>
    </fill>
    <fill>
      <patternFill patternType="solid">
        <fgColor rgb="FFFFFFCC"/>
        <bgColor rgb="FFFFFFCC"/>
      </patternFill>
    </fill>
    <fill>
      <patternFill patternType="solid">
        <fgColor rgb="FF3F3F3F"/>
        <bgColor rgb="FF3F3F3F"/>
      </patternFill>
    </fill>
    <fill>
      <patternFill patternType="solid">
        <fgColor rgb="FFF8F8F8"/>
        <bgColor rgb="FFF8F8F8"/>
      </patternFill>
    </fill>
    <fill>
      <patternFill patternType="solid">
        <fgColor rgb="FF7F7F7F"/>
        <bgColor rgb="FF7F7F7F"/>
      </patternFill>
    </fill>
    <fill>
      <patternFill patternType="solid">
        <fgColor rgb="FFCCCCCC"/>
        <bgColor rgb="FFCCCCCC"/>
      </patternFill>
    </fill>
    <fill>
      <patternFill patternType="solid">
        <fgColor rgb="FFEAFCF8"/>
        <bgColor rgb="FFEAFCF8"/>
      </patternFill>
    </fill>
    <fill>
      <patternFill patternType="solid">
        <fgColor rgb="FFFFFF99"/>
        <bgColor rgb="FFFFFF99"/>
      </patternFill>
    </fill>
    <fill>
      <patternFill patternType="solid">
        <fgColor rgb="FFD8ECE8"/>
        <bgColor rgb="FFD8ECE8"/>
      </patternFill>
    </fill>
    <fill>
      <patternFill patternType="solid">
        <fgColor rgb="FFCFE2F3"/>
        <bgColor rgb="FFCFE2F3"/>
      </patternFill>
    </fill>
    <fill>
      <patternFill patternType="solid">
        <fgColor theme="0"/>
        <bgColor theme="0"/>
      </patternFill>
    </fill>
    <fill>
      <patternFill patternType="solid">
        <fgColor rgb="FF999999"/>
        <bgColor rgb="FF999999"/>
      </patternFill>
    </fill>
    <fill>
      <patternFill patternType="solid">
        <fgColor rgb="FFF1C232"/>
        <bgColor rgb="FFF1C232"/>
      </patternFill>
    </fill>
    <fill>
      <patternFill patternType="solid">
        <fgColor rgb="FFE06666"/>
        <bgColor rgb="FFE06666"/>
      </patternFill>
    </fill>
    <fill>
      <patternFill patternType="solid">
        <fgColor rgb="FFFFD966"/>
        <bgColor rgb="FFFFD966"/>
      </patternFill>
    </fill>
    <fill>
      <patternFill patternType="solid">
        <fgColor rgb="FFCC0000"/>
        <bgColor rgb="FFCC0000"/>
      </patternFill>
    </fill>
  </fills>
  <borders count="41">
    <border/>
    <border>
      <left style="thin">
        <color rgb="FF000000"/>
      </left>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double">
        <color rgb="FF000000"/>
      </left>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bottom style="double">
        <color rgb="FF000000"/>
      </bottom>
    </border>
    <border>
      <left style="double">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ck">
        <color rgb="FF000000"/>
      </left>
      <bottom style="thick">
        <color rgb="FF000000"/>
      </bottom>
    </border>
    <border>
      <right style="thick">
        <color rgb="FF000000"/>
      </right>
      <bottom style="thick">
        <color rgb="FF000000"/>
      </bottom>
    </border>
    <border>
      <left/>
      <right/>
      <top/>
      <bottom/>
    </border>
    <border>
      <left/>
      <right/>
      <top/>
    </border>
    <border>
      <left/>
      <top/>
      <bottom/>
    </border>
    <border>
      <top/>
      <bottom/>
    </border>
    <border>
      <left style="thin">
        <color rgb="FF000000"/>
      </left>
      <right style="thin">
        <color rgb="FF000000"/>
      </right>
      <top style="thin">
        <color rgb="FF000000"/>
      </top>
    </border>
    <border>
      <right/>
      <top/>
      <bottom/>
    </border>
    <border>
      <left/>
      <right/>
      <bottom/>
    </border>
    <border>
      <left style="medium">
        <color rgb="FF000000"/>
      </left>
      <right style="medium">
        <color rgb="FF000000"/>
      </right>
      <bottom style="medium">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right/>
      <top/>
      <bottom style="thin">
        <color rgb="FF000000"/>
      </bottom>
    </border>
    <border>
      <left/>
      <top/>
      <bottom style="thin">
        <color rgb="FF000000"/>
      </bottom>
    </border>
    <border>
      <right/>
      <top/>
      <bottom style="thin">
        <color rgb="FF000000"/>
      </bottom>
    </border>
    <border>
      <left style="double">
        <color rgb="FF000000"/>
      </left>
      <bottom style="double">
        <color rgb="FF000000"/>
      </bottom>
    </border>
    <border>
      <left style="double">
        <color rgb="FF000000"/>
      </left>
      <right style="double">
        <color rgb="FF000000"/>
      </right>
      <bottom style="double">
        <color rgb="FF000000"/>
      </bottom>
    </border>
    <border>
      <right style="double">
        <color rgb="FF000000"/>
      </right>
      <bottom style="double">
        <color rgb="FF000000"/>
      </bottom>
    </border>
    <border>
      <left style="double">
        <color rgb="FF000000"/>
      </left>
      <right style="double">
        <color rgb="FF000000"/>
      </right>
    </border>
    <border>
      <right style="double">
        <color rgb="FF000000"/>
      </right>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Alignment="1" applyBorder="1" applyFont="1">
      <alignment horizontal="center" readingOrder="0" vertical="center"/>
    </xf>
    <xf borderId="3" fillId="0" fontId="3" numFmtId="0" xfId="0" applyBorder="1" applyFont="1"/>
    <xf borderId="4" fillId="0" fontId="3" numFmtId="0" xfId="0" applyBorder="1" applyFont="1"/>
    <xf borderId="5" fillId="0" fontId="4" numFmtId="0" xfId="0" applyAlignment="1" applyBorder="1" applyFont="1">
      <alignment readingOrder="0"/>
    </xf>
    <xf borderId="6" fillId="0" fontId="3" numFmtId="0" xfId="0" applyBorder="1" applyFont="1"/>
    <xf borderId="0" fillId="0" fontId="1" numFmtId="0" xfId="0" applyAlignment="1" applyFont="1">
      <alignment readingOrder="0"/>
    </xf>
    <xf borderId="7" fillId="2" fontId="5" numFmtId="0" xfId="0" applyBorder="1" applyFill="1" applyFont="1"/>
    <xf borderId="8" fillId="3" fontId="6" numFmtId="0" xfId="0" applyAlignment="1" applyBorder="1" applyFill="1" applyFont="1">
      <alignment horizontal="center" readingOrder="0" shrinkToFit="0" vertical="center" wrapText="1"/>
    </xf>
    <xf borderId="9" fillId="0" fontId="3" numFmtId="0" xfId="0" applyBorder="1" applyFont="1"/>
    <xf borderId="10" fillId="0" fontId="3" numFmtId="0" xfId="0" applyBorder="1" applyFont="1"/>
    <xf borderId="11" fillId="0" fontId="1" numFmtId="0" xfId="0" applyAlignment="1" applyBorder="1" applyFont="1">
      <alignment horizontal="center" readingOrder="0"/>
    </xf>
    <xf borderId="12" fillId="0" fontId="7" numFmtId="0" xfId="0" applyBorder="1" applyFont="1"/>
    <xf borderId="13" fillId="4" fontId="7" numFmtId="0" xfId="0" applyAlignment="1" applyBorder="1" applyFill="1" applyFont="1">
      <alignment readingOrder="0"/>
    </xf>
    <xf borderId="10" fillId="4" fontId="7" numFmtId="0" xfId="0" applyAlignment="1" applyBorder="1" applyFont="1">
      <alignment readingOrder="0"/>
    </xf>
    <xf borderId="0" fillId="0" fontId="7" numFmtId="0" xfId="0" applyFont="1"/>
    <xf borderId="14" fillId="0" fontId="3" numFmtId="0" xfId="0" applyBorder="1" applyFont="1"/>
    <xf borderId="15" fillId="0" fontId="3" numFmtId="0" xfId="0" applyBorder="1" applyFont="1"/>
    <xf borderId="0" fillId="0" fontId="7" numFmtId="0" xfId="0" applyAlignment="1" applyFont="1">
      <alignment readingOrder="0"/>
    </xf>
    <xf borderId="16" fillId="4" fontId="7" numFmtId="0" xfId="0" applyAlignment="1" applyBorder="1" applyFont="1">
      <alignment readingOrder="0"/>
    </xf>
    <xf borderId="17" fillId="0" fontId="8" numFmtId="0" xfId="0" applyAlignment="1" applyBorder="1" applyFont="1">
      <alignment horizontal="center" vertical="bottom"/>
    </xf>
    <xf borderId="18" fillId="0" fontId="3" numFmtId="0" xfId="0" applyBorder="1" applyFont="1"/>
    <xf borderId="19" fillId="0" fontId="3" numFmtId="0" xfId="0" applyBorder="1" applyFont="1"/>
    <xf borderId="0" fillId="3" fontId="9" numFmtId="0" xfId="0" applyAlignment="1" applyFont="1">
      <alignment vertical="bottom"/>
    </xf>
    <xf borderId="14" fillId="0" fontId="8" numFmtId="0" xfId="0" applyAlignment="1" applyBorder="1" applyFont="1">
      <alignment horizontal="center" vertical="bottom"/>
    </xf>
    <xf borderId="14" fillId="0" fontId="8" numFmtId="0" xfId="0" applyAlignment="1" applyBorder="1" applyFont="1">
      <alignment horizontal="center" readingOrder="0" vertical="bottom"/>
    </xf>
    <xf borderId="0" fillId="3" fontId="9" numFmtId="0" xfId="0" applyAlignment="1" applyFont="1">
      <alignment vertical="bottom"/>
    </xf>
    <xf borderId="0" fillId="3" fontId="9" numFmtId="0" xfId="0" applyAlignment="1" applyFont="1">
      <alignment readingOrder="0" vertical="bottom"/>
    </xf>
    <xf borderId="2" fillId="0" fontId="1" numFmtId="0" xfId="0" applyAlignment="1" applyBorder="1" applyFont="1">
      <alignment horizontal="center" readingOrder="0"/>
    </xf>
    <xf borderId="0" fillId="0" fontId="7" numFmtId="0" xfId="0" applyAlignment="1" applyFont="1">
      <alignment readingOrder="0" shrinkToFit="0" wrapText="1"/>
    </xf>
    <xf borderId="13" fillId="4" fontId="7" numFmtId="0" xfId="0" applyBorder="1" applyFont="1"/>
    <xf borderId="16" fillId="4" fontId="7" numFmtId="0" xfId="0" applyBorder="1" applyFont="1"/>
    <xf borderId="0" fillId="0" fontId="1" numFmtId="0" xfId="0" applyAlignment="1" applyFont="1">
      <alignment horizontal="center" readingOrder="0"/>
    </xf>
    <xf borderId="0" fillId="0" fontId="10" numFmtId="0" xfId="0" applyAlignment="1" applyFont="1">
      <alignment vertical="bottom"/>
    </xf>
    <xf borderId="12" fillId="0" fontId="10" numFmtId="0" xfId="0" applyAlignment="1" applyBorder="1" applyFont="1">
      <alignment vertical="bottom"/>
    </xf>
    <xf borderId="12" fillId="0" fontId="7" numFmtId="0" xfId="0" applyAlignment="1" applyBorder="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12" numFmtId="0" xfId="0" applyAlignment="1" applyFont="1">
      <alignment readingOrder="0" vertical="bottom"/>
    </xf>
    <xf borderId="0" fillId="0" fontId="12" numFmtId="0" xfId="0" applyAlignment="1" applyFont="1">
      <alignment vertical="bottom"/>
    </xf>
    <xf borderId="0" fillId="0" fontId="12" numFmtId="0" xfId="0" applyAlignment="1" applyFont="1">
      <alignment vertical="bottom"/>
    </xf>
    <xf borderId="20" fillId="0" fontId="2" numFmtId="0" xfId="0" applyAlignment="1" applyBorder="1" applyFont="1">
      <alignment horizontal="center" vertical="bottom"/>
    </xf>
    <xf borderId="0" fillId="0" fontId="2" numFmtId="0" xfId="0" applyAlignment="1" applyFont="1">
      <alignment horizontal="center" vertical="bottom"/>
    </xf>
    <xf borderId="21" fillId="0" fontId="2" numFmtId="0" xfId="0" applyAlignment="1" applyBorder="1" applyFont="1">
      <alignment horizontal="center" readingOrder="0" vertical="bottom"/>
    </xf>
    <xf borderId="20" fillId="0" fontId="3" numFmtId="0" xfId="0" applyBorder="1" applyFont="1"/>
    <xf borderId="22" fillId="0" fontId="3" numFmtId="0" xfId="0" applyBorder="1" applyFont="1"/>
    <xf borderId="9" fillId="0" fontId="7" numFmtId="0" xfId="0" applyBorder="1" applyFont="1"/>
    <xf borderId="9" fillId="0" fontId="7" numFmtId="0" xfId="0" applyAlignment="1" applyBorder="1" applyFont="1">
      <alignment readingOrder="0"/>
    </xf>
    <xf borderId="0" fillId="4" fontId="7" numFmtId="0" xfId="0" applyFont="1"/>
    <xf borderId="23" fillId="5" fontId="13" numFmtId="0" xfId="0" applyBorder="1" applyFill="1" applyFont="1"/>
    <xf borderId="24" fillId="5" fontId="13" numFmtId="0" xfId="0" applyBorder="1" applyFont="1"/>
    <xf borderId="0" fillId="0" fontId="7" numFmtId="164" xfId="0" applyFont="1" applyNumberFormat="1"/>
    <xf borderId="25" fillId="5" fontId="13" numFmtId="0" xfId="0" applyBorder="1" applyFont="1"/>
    <xf borderId="1" fillId="6" fontId="6" numFmtId="0" xfId="0" applyAlignment="1" applyBorder="1" applyFill="1" applyFont="1">
      <alignment horizontal="center" readingOrder="0"/>
    </xf>
    <xf borderId="26" fillId="5" fontId="13" numFmtId="0" xfId="0" applyBorder="1" applyFont="1"/>
    <xf borderId="18" fillId="6" fontId="6" numFmtId="0" xfId="0" applyAlignment="1" applyBorder="1" applyFont="1">
      <alignment horizontal="center" readingOrder="0"/>
    </xf>
    <xf borderId="17" fillId="6" fontId="6" numFmtId="164" xfId="0" applyAlignment="1" applyBorder="1" applyFont="1" applyNumberFormat="1">
      <alignment horizontal="center" readingOrder="0"/>
    </xf>
    <xf borderId="17" fillId="6" fontId="15" numFmtId="0" xfId="0" applyAlignment="1" applyBorder="1" applyFont="1">
      <alignment horizontal="center" readingOrder="0"/>
    </xf>
    <xf borderId="27" fillId="7" fontId="16" numFmtId="0" xfId="0" applyAlignment="1" applyBorder="1" applyFill="1" applyFont="1">
      <alignment horizontal="center" readingOrder="0" shrinkToFit="0" vertical="center" wrapText="1"/>
    </xf>
    <xf borderId="1" fillId="8" fontId="17" numFmtId="165" xfId="0" applyBorder="1" applyFill="1" applyFont="1" applyNumberFormat="1"/>
    <xf borderId="1" fillId="8" fontId="18" numFmtId="0" xfId="0" applyBorder="1" applyFont="1"/>
    <xf borderId="28" fillId="5" fontId="13" numFmtId="0" xfId="0" applyAlignment="1" applyBorder="1" applyFont="1">
      <alignment horizontal="center"/>
    </xf>
    <xf borderId="0" fillId="0" fontId="19" numFmtId="0" xfId="0" applyAlignment="1" applyFont="1">
      <alignment horizontal="left" readingOrder="0"/>
    </xf>
    <xf borderId="29" fillId="5" fontId="13" numFmtId="0" xfId="0" applyAlignment="1" applyBorder="1" applyFont="1">
      <alignment horizontal="center"/>
    </xf>
    <xf borderId="30" fillId="8" fontId="20" numFmtId="0" xfId="0" applyAlignment="1" applyBorder="1" applyFont="1">
      <alignment horizontal="center"/>
    </xf>
    <xf borderId="29" fillId="5" fontId="20" numFmtId="0" xfId="0" applyBorder="1" applyFont="1"/>
    <xf borderId="29" fillId="5" fontId="20" numFmtId="0" xfId="0" applyAlignment="1" applyBorder="1" applyFont="1">
      <alignment horizontal="center"/>
    </xf>
    <xf borderId="30" fillId="8" fontId="20" numFmtId="9" xfId="0" applyAlignment="1" applyBorder="1" applyFont="1" applyNumberFormat="1">
      <alignment horizontal="center"/>
    </xf>
    <xf borderId="25" fillId="5" fontId="20" numFmtId="0" xfId="0" applyAlignment="1" applyBorder="1" applyFont="1">
      <alignment horizontal="center"/>
    </xf>
    <xf borderId="17" fillId="9" fontId="9" numFmtId="164" xfId="0" applyAlignment="1" applyBorder="1" applyFill="1" applyFont="1" applyNumberFormat="1">
      <alignment horizontal="center" readingOrder="0" vertical="center"/>
    </xf>
    <xf borderId="31" fillId="0" fontId="3" numFmtId="0" xfId="0" applyBorder="1" applyFont="1"/>
    <xf borderId="0" fillId="10" fontId="13" numFmtId="0" xfId="0" applyFill="1" applyFont="1"/>
    <xf borderId="29" fillId="10" fontId="13" numFmtId="0" xfId="0" applyBorder="1" applyFont="1"/>
    <xf borderId="23" fillId="10" fontId="13" numFmtId="0" xfId="0" applyAlignment="1" applyBorder="1" applyFont="1">
      <alignment horizontal="center"/>
    </xf>
    <xf borderId="23" fillId="10" fontId="19" numFmtId="0" xfId="0" applyBorder="1" applyFont="1"/>
    <xf borderId="23" fillId="10" fontId="13" numFmtId="9" xfId="0" applyAlignment="1" applyBorder="1" applyFont="1" applyNumberFormat="1">
      <alignment horizontal="center"/>
    </xf>
    <xf borderId="0" fillId="0" fontId="13" numFmtId="0" xfId="0" applyFont="1"/>
    <xf borderId="0" fillId="9" fontId="9" numFmtId="0" xfId="0" applyFont="1"/>
    <xf borderId="23" fillId="9" fontId="9" numFmtId="0" xfId="0" applyBorder="1" applyFont="1"/>
    <xf borderId="23" fillId="5" fontId="13" numFmtId="0" xfId="0" applyAlignment="1" applyBorder="1" applyFont="1">
      <alignment horizontal="center"/>
    </xf>
    <xf borderId="23" fillId="9" fontId="9" numFmtId="0" xfId="0" applyAlignment="1" applyBorder="1" applyFont="1">
      <alignment horizontal="center"/>
    </xf>
    <xf borderId="23" fillId="11" fontId="9" numFmtId="0" xfId="0" applyAlignment="1" applyBorder="1" applyFill="1" applyFont="1">
      <alignment horizontal="center"/>
    </xf>
    <xf borderId="23" fillId="9" fontId="9" numFmtId="164" xfId="0" applyAlignment="1" applyBorder="1" applyFont="1" applyNumberFormat="1">
      <alignment horizontal="center" readingOrder="0"/>
    </xf>
    <xf borderId="23" fillId="11" fontId="9" numFmtId="0" xfId="0" applyAlignment="1" applyBorder="1" applyFont="1">
      <alignment horizontal="center" readingOrder="0"/>
    </xf>
    <xf borderId="17" fillId="9" fontId="9" numFmtId="0" xfId="0" applyAlignment="1" applyBorder="1" applyFont="1">
      <alignment horizontal="center" readingOrder="0"/>
    </xf>
    <xf borderId="17" fillId="9" fontId="9" numFmtId="0" xfId="0" applyAlignment="1" applyBorder="1" applyFont="1">
      <alignment horizontal="center" vertical="center"/>
    </xf>
    <xf borderId="0" fillId="0" fontId="7" numFmtId="164" xfId="0" applyAlignment="1" applyFont="1" applyNumberFormat="1">
      <alignment readingOrder="0"/>
    </xf>
    <xf borderId="0" fillId="12" fontId="21" numFmtId="0" xfId="0" applyAlignment="1" applyFill="1" applyFont="1">
      <alignment readingOrder="0"/>
    </xf>
    <xf borderId="0" fillId="0" fontId="22" numFmtId="0" xfId="0" applyAlignment="1" applyFont="1">
      <alignment vertical="center"/>
    </xf>
    <xf borderId="0" fillId="3" fontId="23" numFmtId="0" xfId="0" applyAlignment="1" applyFont="1">
      <alignment vertical="center"/>
    </xf>
    <xf borderId="23" fillId="5" fontId="24" numFmtId="0" xfId="0" applyAlignment="1" applyBorder="1" applyFont="1">
      <alignment horizontal="center" vertical="center"/>
    </xf>
    <xf borderId="0" fillId="0" fontId="25" numFmtId="0" xfId="0" applyFont="1"/>
    <xf borderId="0" fillId="5" fontId="12" numFmtId="0" xfId="0" applyFont="1"/>
    <xf borderId="0" fillId="0" fontId="25" numFmtId="0" xfId="0" applyAlignment="1" applyFont="1">
      <alignment horizontal="center"/>
    </xf>
    <xf borderId="23" fillId="8" fontId="24" numFmtId="9" xfId="0" applyAlignment="1" applyBorder="1" applyFont="1" applyNumberFormat="1">
      <alignment horizontal="center" vertical="center"/>
    </xf>
    <xf borderId="0" fillId="8" fontId="24" numFmtId="0" xfId="0" applyAlignment="1" applyFont="1">
      <alignment horizontal="center" vertical="center"/>
    </xf>
    <xf borderId="0" fillId="13" fontId="24" numFmtId="164" xfId="0" applyAlignment="1" applyFill="1" applyFont="1" applyNumberFormat="1">
      <alignment horizontal="center" readingOrder="0" vertical="center"/>
    </xf>
    <xf borderId="25" fillId="5" fontId="24" numFmtId="0" xfId="0" applyBorder="1" applyFont="1"/>
    <xf borderId="0" fillId="13" fontId="24" numFmtId="1" xfId="0" applyAlignment="1" applyFont="1" applyNumberFormat="1">
      <alignment horizontal="center" readingOrder="0" vertical="center"/>
    </xf>
    <xf borderId="28" fillId="5" fontId="24" numFmtId="0" xfId="0" applyBorder="1" applyFont="1"/>
    <xf borderId="17" fillId="0" fontId="19" numFmtId="0" xfId="0" applyAlignment="1" applyBorder="1" applyFont="1">
      <alignment horizontal="center" vertical="center"/>
    </xf>
    <xf borderId="23" fillId="9" fontId="9" numFmtId="0" xfId="0" applyAlignment="1" applyBorder="1" applyFont="1">
      <alignment readingOrder="0"/>
    </xf>
    <xf borderId="1" fillId="0" fontId="13" numFmtId="0" xfId="0" applyAlignment="1" applyBorder="1" applyFont="1">
      <alignment horizontal="center" readingOrder="0"/>
    </xf>
    <xf borderId="0" fillId="10" fontId="24" numFmtId="0" xfId="0" applyAlignment="1" applyFont="1">
      <alignment vertical="center"/>
    </xf>
    <xf borderId="23" fillId="3" fontId="26" numFmtId="0" xfId="0" applyAlignment="1" applyBorder="1" applyFont="1">
      <alignment vertical="center"/>
    </xf>
    <xf borderId="0" fillId="10" fontId="25" numFmtId="0" xfId="0" applyAlignment="1" applyFont="1">
      <alignment shrinkToFit="0" wrapText="0"/>
    </xf>
    <xf borderId="0" fillId="10" fontId="25" numFmtId="0" xfId="0" applyAlignment="1" applyFont="1">
      <alignment horizontal="center" readingOrder="0"/>
    </xf>
    <xf borderId="0" fillId="10" fontId="25" numFmtId="0" xfId="0" applyAlignment="1" applyFont="1">
      <alignment horizontal="center"/>
    </xf>
    <xf borderId="23" fillId="14" fontId="24" numFmtId="9" xfId="0" applyAlignment="1" applyBorder="1" applyFill="1" applyFont="1" applyNumberFormat="1">
      <alignment horizontal="center" vertical="center"/>
    </xf>
    <xf borderId="23" fillId="14" fontId="24" numFmtId="0" xfId="0" applyAlignment="1" applyBorder="1" applyFont="1">
      <alignment horizontal="center" vertical="center"/>
    </xf>
    <xf borderId="0" fillId="15" fontId="24" numFmtId="164" xfId="0" applyAlignment="1" applyFill="1" applyFont="1" applyNumberFormat="1">
      <alignment horizontal="center" readingOrder="0" vertical="center"/>
    </xf>
    <xf borderId="0" fillId="15" fontId="24" numFmtId="1" xfId="0" applyAlignment="1" applyFont="1" applyNumberFormat="1">
      <alignment horizontal="center" readingOrder="0" vertical="center"/>
    </xf>
    <xf borderId="23" fillId="3" fontId="9" numFmtId="0" xfId="0" applyAlignment="1" applyBorder="1" applyFont="1">
      <alignment readingOrder="0"/>
    </xf>
    <xf borderId="0" fillId="0" fontId="13" numFmtId="0" xfId="0" applyFont="1"/>
    <xf borderId="0" fillId="0" fontId="25" numFmtId="0" xfId="0" applyAlignment="1" applyFont="1">
      <alignment horizontal="center"/>
    </xf>
    <xf borderId="0" fillId="13" fontId="24" numFmtId="1" xfId="0" applyAlignment="1" applyFont="1" applyNumberFormat="1">
      <alignment horizontal="center" vertical="center"/>
    </xf>
    <xf borderId="8" fillId="9" fontId="9" numFmtId="0" xfId="0" applyAlignment="1" applyBorder="1" applyFont="1">
      <alignment horizontal="center" readingOrder="0" vertical="center"/>
    </xf>
    <xf borderId="32" fillId="11" fontId="9" numFmtId="0" xfId="0" applyAlignment="1" applyBorder="1" applyFont="1">
      <alignment horizontal="center" readingOrder="0" vertical="center"/>
    </xf>
    <xf borderId="0" fillId="10" fontId="25" numFmtId="0" xfId="0" applyFont="1"/>
    <xf borderId="0" fillId="10" fontId="25" numFmtId="0" xfId="0" applyAlignment="1" applyFont="1">
      <alignment horizontal="center"/>
    </xf>
    <xf borderId="0" fillId="15" fontId="24" numFmtId="1" xfId="0" applyAlignment="1" applyFont="1" applyNumberFormat="1">
      <alignment horizontal="center" vertical="center"/>
    </xf>
    <xf borderId="23" fillId="3" fontId="9" numFmtId="0" xfId="0" applyBorder="1" applyFont="1"/>
    <xf borderId="32" fillId="16" fontId="7" numFmtId="0" xfId="0" applyAlignment="1" applyBorder="1" applyFill="1" applyFont="1">
      <alignment readingOrder="0" vertical="center"/>
    </xf>
    <xf borderId="32" fillId="14" fontId="24" numFmtId="0" xfId="0" applyAlignment="1" applyBorder="1" applyFont="1">
      <alignment horizontal="center" vertical="center"/>
    </xf>
    <xf borderId="0" fillId="0" fontId="25" numFmtId="0" xfId="0" applyAlignment="1" applyFont="1">
      <alignment horizontal="center" readingOrder="0"/>
    </xf>
    <xf borderId="0" fillId="0" fontId="25" numFmtId="0" xfId="0" applyAlignment="1" applyFont="1">
      <alignment shrinkToFit="0" wrapText="0"/>
    </xf>
    <xf borderId="0" fillId="0" fontId="22" numFmtId="0" xfId="0" applyFont="1"/>
    <xf borderId="0" fillId="3" fontId="23" numFmtId="0" xfId="0" applyFont="1"/>
    <xf borderId="23" fillId="5" fontId="24" numFmtId="0" xfId="0" applyAlignment="1" applyBorder="1" applyFont="1">
      <alignment horizontal="center"/>
    </xf>
    <xf borderId="0" fillId="0" fontId="25" numFmtId="0" xfId="0" applyAlignment="1" applyFont="1">
      <alignment vertical="bottom"/>
    </xf>
    <xf borderId="0" fillId="5" fontId="12" numFmtId="0" xfId="0" applyAlignment="1" applyFont="1">
      <alignment vertical="bottom"/>
    </xf>
    <xf borderId="0" fillId="0" fontId="25" numFmtId="0" xfId="0" applyAlignment="1" applyFont="1">
      <alignment horizontal="center" vertical="bottom"/>
    </xf>
    <xf borderId="0" fillId="0" fontId="25" numFmtId="0" xfId="0" applyAlignment="1" applyFont="1">
      <alignment horizontal="center" vertical="bottom"/>
    </xf>
    <xf borderId="23" fillId="8" fontId="24" numFmtId="9" xfId="0" applyAlignment="1" applyBorder="1" applyFont="1" applyNumberFormat="1">
      <alignment horizontal="center"/>
    </xf>
    <xf borderId="0" fillId="8" fontId="24" numFmtId="0" xfId="0" applyAlignment="1" applyFont="1">
      <alignment horizontal="center"/>
    </xf>
    <xf borderId="0" fillId="10" fontId="24" numFmtId="0" xfId="0" applyFont="1"/>
    <xf borderId="23" fillId="3" fontId="26" numFmtId="0" xfId="0" applyBorder="1" applyFont="1"/>
    <xf borderId="0" fillId="10" fontId="25" numFmtId="0" xfId="0" applyAlignment="1" applyFont="1">
      <alignment vertical="bottom"/>
    </xf>
    <xf borderId="0" fillId="10" fontId="25" numFmtId="0" xfId="0" applyAlignment="1" applyFont="1">
      <alignment horizontal="center" vertical="bottom"/>
    </xf>
    <xf borderId="0" fillId="10" fontId="25" numFmtId="0" xfId="0" applyAlignment="1" applyFont="1">
      <alignment horizontal="center" vertical="bottom"/>
    </xf>
    <xf borderId="23" fillId="14" fontId="24" numFmtId="9" xfId="0" applyAlignment="1" applyBorder="1" applyFont="1" applyNumberFormat="1">
      <alignment horizontal="center"/>
    </xf>
    <xf borderId="23" fillId="14" fontId="24" numFmtId="0" xfId="0" applyAlignment="1" applyBorder="1" applyFont="1">
      <alignment horizontal="center"/>
    </xf>
    <xf borderId="0" fillId="10" fontId="25" numFmtId="0" xfId="0" applyAlignment="1" applyFont="1">
      <alignment horizontal="center" readingOrder="0" vertical="bottom"/>
    </xf>
    <xf borderId="23" fillId="10" fontId="24" numFmtId="0" xfId="0" applyBorder="1" applyFont="1"/>
    <xf borderId="23" fillId="10" fontId="24" numFmtId="0" xfId="0" applyAlignment="1" applyBorder="1" applyFont="1">
      <alignment horizontal="center"/>
    </xf>
    <xf borderId="23" fillId="5" fontId="24" numFmtId="0" xfId="0" applyBorder="1" applyFont="1"/>
    <xf borderId="0" fillId="15" fontId="24" numFmtId="164" xfId="0" applyAlignment="1" applyFont="1" applyNumberFormat="1">
      <alignment horizontal="center" vertical="center"/>
    </xf>
    <xf borderId="0" fillId="0" fontId="22" numFmtId="0" xfId="0" applyAlignment="1" applyFont="1">
      <alignment readingOrder="0"/>
    </xf>
    <xf borderId="0" fillId="0" fontId="24" numFmtId="0" xfId="0" applyAlignment="1" applyFont="1">
      <alignment horizontal="center" readingOrder="0"/>
    </xf>
    <xf borderId="23" fillId="5" fontId="24" numFmtId="0" xfId="0" applyAlignment="1" applyBorder="1" applyFont="1">
      <alignment readingOrder="0"/>
    </xf>
    <xf borderId="23" fillId="10" fontId="24" numFmtId="0" xfId="0" applyAlignment="1" applyBorder="1" applyFont="1">
      <alignment readingOrder="0"/>
    </xf>
    <xf borderId="23" fillId="10" fontId="24" numFmtId="0" xfId="0" applyAlignment="1" applyBorder="1" applyFont="1">
      <alignment horizontal="center" readingOrder="0"/>
    </xf>
    <xf borderId="0" fillId="0" fontId="24" numFmtId="0" xfId="0" applyAlignment="1" applyFont="1">
      <alignment horizontal="center"/>
    </xf>
    <xf borderId="15" fillId="10" fontId="24" numFmtId="0" xfId="0" applyBorder="1" applyFont="1"/>
    <xf borderId="33" fillId="3" fontId="26" numFmtId="0" xfId="0" applyBorder="1" applyFont="1"/>
    <xf borderId="33" fillId="5" fontId="24" numFmtId="0" xfId="0" applyAlignment="1" applyBorder="1" applyFont="1">
      <alignment horizontal="center"/>
    </xf>
    <xf borderId="33" fillId="10" fontId="24" numFmtId="0" xfId="0" applyBorder="1" applyFont="1"/>
    <xf borderId="33" fillId="10" fontId="24" numFmtId="0" xfId="0" applyAlignment="1" applyBorder="1" applyFont="1">
      <alignment horizontal="center"/>
    </xf>
    <xf borderId="33" fillId="14" fontId="24" numFmtId="9" xfId="0" applyAlignment="1" applyBorder="1" applyFont="1" applyNumberFormat="1">
      <alignment horizontal="center"/>
    </xf>
    <xf borderId="33" fillId="14" fontId="24" numFmtId="0" xfId="0" applyAlignment="1" applyBorder="1" applyFont="1">
      <alignment horizontal="center"/>
    </xf>
    <xf borderId="33" fillId="5" fontId="13" numFmtId="0" xfId="0" applyAlignment="1" applyBorder="1" applyFont="1">
      <alignment horizontal="center"/>
    </xf>
    <xf borderId="15" fillId="15" fontId="24" numFmtId="164" xfId="0" applyAlignment="1" applyBorder="1" applyFont="1" applyNumberFormat="1">
      <alignment horizontal="center" vertical="center"/>
    </xf>
    <xf borderId="34" fillId="5" fontId="24" numFmtId="0" xfId="0" applyBorder="1" applyFont="1"/>
    <xf borderId="15" fillId="15" fontId="24" numFmtId="1" xfId="0" applyAlignment="1" applyBorder="1" applyFont="1" applyNumberFormat="1">
      <alignment horizontal="center" vertical="center"/>
    </xf>
    <xf borderId="35" fillId="5" fontId="24" numFmtId="0" xfId="0" applyBorder="1" applyFont="1"/>
    <xf borderId="0" fillId="0" fontId="27" numFmtId="0" xfId="0" applyAlignment="1" applyFont="1">
      <alignment readingOrder="0"/>
    </xf>
    <xf borderId="0" fillId="0" fontId="28" numFmtId="0" xfId="0" applyAlignment="1" applyFont="1">
      <alignment readingOrder="0"/>
    </xf>
    <xf borderId="25" fillId="5" fontId="24" numFmtId="0" xfId="0" applyAlignment="1" applyBorder="1" applyFont="1">
      <alignment horizontal="center"/>
    </xf>
    <xf borderId="23" fillId="14" fontId="24" numFmtId="0" xfId="0" applyAlignment="1" applyBorder="1" applyFont="1">
      <alignment horizontal="center" readingOrder="0"/>
    </xf>
    <xf borderId="17" fillId="0" fontId="19" numFmtId="0" xfId="0" applyAlignment="1" applyBorder="1" applyFont="1">
      <alignment horizontal="center" readingOrder="0" vertical="center"/>
    </xf>
    <xf borderId="23" fillId="10" fontId="24" numFmtId="0" xfId="0" applyAlignment="1" applyBorder="1" applyFont="1">
      <alignment vertical="center"/>
    </xf>
    <xf borderId="0" fillId="0" fontId="7" numFmtId="0" xfId="0" applyAlignment="1" applyFont="1">
      <alignment readingOrder="0"/>
    </xf>
    <xf borderId="0" fillId="0" fontId="29" numFmtId="0" xfId="0" applyAlignment="1" applyFont="1">
      <alignment readingOrder="0"/>
    </xf>
    <xf borderId="0" fillId="17" fontId="7" numFmtId="0" xfId="0" applyFill="1" applyFont="1"/>
    <xf borderId="0" fillId="18" fontId="7" numFmtId="0" xfId="0" applyFill="1" applyFont="1"/>
    <xf borderId="0" fillId="0" fontId="1" numFmtId="0" xfId="0" applyAlignment="1" applyFont="1">
      <alignment horizontal="left" readingOrder="0" shrinkToFit="0" vertical="center" wrapText="1"/>
    </xf>
    <xf borderId="0" fillId="17" fontId="1" numFmtId="0" xfId="0" applyAlignment="1" applyFont="1">
      <alignment readingOrder="0"/>
    </xf>
    <xf borderId="0" fillId="8" fontId="7" numFmtId="0" xfId="0" applyFont="1"/>
    <xf borderId="0" fillId="17" fontId="13" numFmtId="0" xfId="0" applyAlignment="1" applyFont="1">
      <alignment readingOrder="0" shrinkToFit="0" vertical="bottom" wrapText="0"/>
    </xf>
    <xf borderId="0" fillId="18" fontId="13" numFmtId="0" xfId="0" applyAlignment="1" applyFont="1">
      <alignment readingOrder="0" shrinkToFit="0" vertical="bottom" wrapText="0"/>
    </xf>
    <xf borderId="0" fillId="0" fontId="13" numFmtId="0" xfId="0" applyAlignment="1" applyFont="1">
      <alignment readingOrder="0" shrinkToFit="0" vertical="bottom" wrapText="0"/>
    </xf>
    <xf borderId="0" fillId="17" fontId="13" numFmtId="11" xfId="0" applyAlignment="1" applyFont="1" applyNumberFormat="1">
      <alignment readingOrder="0" shrinkToFit="0" vertical="bottom" wrapText="0"/>
    </xf>
    <xf borderId="0" fillId="18" fontId="13" numFmtId="11" xfId="0" applyAlignment="1" applyFont="1" applyNumberFormat="1">
      <alignment readingOrder="0" shrinkToFit="0" vertical="bottom" wrapText="0"/>
    </xf>
    <xf borderId="0" fillId="0" fontId="13" numFmtId="11" xfId="0" applyAlignment="1" applyFont="1" applyNumberFormat="1">
      <alignment readingOrder="0" shrinkToFit="0" vertical="bottom" wrapText="0"/>
    </xf>
    <xf borderId="0" fillId="7" fontId="6" numFmtId="0" xfId="0" applyAlignment="1" applyFont="1">
      <alignment readingOrder="0"/>
    </xf>
    <xf borderId="0" fillId="19" fontId="7" numFmtId="0" xfId="0" applyAlignment="1" applyFill="1" applyFont="1">
      <alignment readingOrder="0"/>
    </xf>
    <xf borderId="0" fillId="0" fontId="7" numFmtId="0" xfId="0" applyAlignment="1" applyFont="1">
      <alignment horizontal="center" readingOrder="0"/>
    </xf>
    <xf borderId="0" fillId="0" fontId="30" numFmtId="0" xfId="0" applyAlignment="1" applyFont="1">
      <alignment horizontal="left" readingOrder="0"/>
    </xf>
    <xf borderId="0" fillId="20" fontId="7" numFmtId="0" xfId="0" applyAlignment="1" applyFill="1" applyFont="1">
      <alignment readingOrder="0"/>
    </xf>
    <xf borderId="0" fillId="21" fontId="7" numFmtId="0" xfId="0" applyAlignment="1" applyFill="1" applyFont="1">
      <alignment readingOrder="0"/>
    </xf>
    <xf borderId="0" fillId="0" fontId="31" numFmtId="0" xfId="0" applyAlignment="1" applyFont="1">
      <alignment readingOrder="0"/>
    </xf>
    <xf borderId="0" fillId="22" fontId="7" numFmtId="0" xfId="0" applyAlignment="1" applyFill="1" applyFont="1">
      <alignment readingOrder="0"/>
    </xf>
    <xf borderId="0" fillId="2" fontId="7" numFmtId="0" xfId="0" applyAlignment="1" applyFont="1">
      <alignment readingOrder="0"/>
    </xf>
    <xf borderId="0" fillId="0" fontId="32" numFmtId="0" xfId="0" applyAlignment="1" applyFont="1">
      <alignment readingOrder="0"/>
    </xf>
    <xf borderId="36" fillId="18" fontId="6" numFmtId="0" xfId="0" applyAlignment="1" applyBorder="1" applyFont="1">
      <alignment horizontal="center" readingOrder="0"/>
    </xf>
    <xf borderId="37" fillId="7" fontId="6" numFmtId="0" xfId="0" applyAlignment="1" applyBorder="1" applyFont="1">
      <alignment horizontal="center" readingOrder="0"/>
    </xf>
    <xf borderId="11" fillId="18" fontId="6" numFmtId="0" xfId="0" applyAlignment="1" applyBorder="1" applyFont="1">
      <alignment horizontal="center" readingOrder="0"/>
    </xf>
    <xf borderId="38" fillId="18" fontId="6" numFmtId="0" xfId="0" applyAlignment="1" applyBorder="1" applyFont="1">
      <alignment horizontal="center" readingOrder="0"/>
    </xf>
    <xf borderId="0" fillId="0" fontId="7" numFmtId="0" xfId="0" applyAlignment="1" applyFont="1">
      <alignment horizontal="center"/>
    </xf>
    <xf borderId="39" fillId="7" fontId="6" numFmtId="0" xfId="0" applyAlignment="1" applyBorder="1" applyFont="1">
      <alignment readingOrder="0"/>
    </xf>
    <xf borderId="12" fillId="16" fontId="7" numFmtId="166" xfId="0" applyAlignment="1" applyBorder="1" applyFont="1" applyNumberFormat="1">
      <alignment readingOrder="0"/>
    </xf>
    <xf borderId="39" fillId="16" fontId="7" numFmtId="0" xfId="0" applyAlignment="1" applyBorder="1" applyFont="1">
      <alignment readingOrder="0"/>
    </xf>
    <xf borderId="0" fillId="16" fontId="7" numFmtId="0" xfId="0" applyFont="1"/>
    <xf borderId="39" fillId="16" fontId="7" numFmtId="0" xfId="0" applyBorder="1" applyFont="1"/>
    <xf borderId="40" fillId="16" fontId="7" numFmtId="0" xfId="0" applyBorder="1" applyFont="1"/>
    <xf borderId="12" fillId="17" fontId="7" numFmtId="0" xfId="0" applyAlignment="1" applyBorder="1" applyFont="1">
      <alignment readingOrder="0"/>
    </xf>
    <xf borderId="39" fillId="17" fontId="7" numFmtId="0" xfId="0" applyAlignment="1" applyBorder="1" applyFont="1">
      <alignment readingOrder="0"/>
    </xf>
    <xf borderId="12" fillId="17" fontId="7" numFmtId="167" xfId="0" applyAlignment="1" applyBorder="1" applyFont="1" applyNumberFormat="1">
      <alignment readingOrder="0"/>
    </xf>
    <xf borderId="12" fillId="17" fontId="7" numFmtId="0" xfId="0" applyAlignment="1" applyBorder="1" applyFont="1">
      <alignment readingOrder="0"/>
    </xf>
    <xf borderId="39" fillId="17" fontId="7" numFmtId="0" xfId="0" applyAlignment="1" applyBorder="1" applyFont="1">
      <alignment readingOrder="0"/>
    </xf>
    <xf borderId="32" fillId="8" fontId="7" numFmtId="0" xfId="0" applyAlignment="1" applyBorder="1" applyFont="1">
      <alignment readingOrder="0"/>
    </xf>
    <xf borderId="39" fillId="16" fontId="7" numFmtId="0" xfId="0" applyBorder="1" applyFont="1"/>
    <xf borderId="0" fillId="16" fontId="7" numFmtId="0" xfId="0" applyFont="1"/>
    <xf borderId="40" fillId="16" fontId="7" numFmtId="0" xfId="0" applyBorder="1" applyFont="1"/>
    <xf borderId="12" fillId="17" fontId="7" numFmtId="0" xfId="0" applyBorder="1" applyFont="1"/>
    <xf borderId="39" fillId="17" fontId="7" numFmtId="0" xfId="0" applyBorder="1" applyFont="1"/>
    <xf borderId="39" fillId="8" fontId="7" numFmtId="0" xfId="0" applyAlignment="1" applyBorder="1" applyFont="1">
      <alignment readingOrder="0"/>
    </xf>
    <xf borderId="12" fillId="17" fontId="7" numFmtId="0" xfId="0" applyBorder="1" applyFont="1"/>
    <xf borderId="39" fillId="17" fontId="7" numFmtId="0" xfId="0" applyBorder="1" applyFont="1"/>
    <xf borderId="12" fillId="16" fontId="7" numFmtId="0" xfId="0" applyAlignment="1" applyBorder="1" applyFont="1">
      <alignment readingOrder="0"/>
    </xf>
    <xf borderId="39" fillId="16" fontId="7" numFmtId="0" xfId="0" applyAlignment="1" applyBorder="1" applyFont="1">
      <alignment readingOrder="0"/>
    </xf>
    <xf borderId="12" fillId="8" fontId="7" numFmtId="167" xfId="0" applyAlignment="1" applyBorder="1" applyFont="1" applyNumberFormat="1">
      <alignment readingOrder="0"/>
    </xf>
    <xf borderId="12" fillId="8" fontId="7" numFmtId="0" xfId="0" applyAlignment="1" applyBorder="1" applyFont="1">
      <alignment readingOrder="0"/>
    </xf>
    <xf borderId="39" fillId="8" fontId="7" numFmtId="0" xfId="0" applyAlignment="1" applyBorder="1" applyFont="1">
      <alignment readingOrder="0"/>
    </xf>
    <xf borderId="0" fillId="16" fontId="7" numFmtId="0" xfId="0" applyAlignment="1" applyFont="1">
      <alignment readingOrder="0"/>
    </xf>
    <xf borderId="40" fillId="16" fontId="7" numFmtId="0" xfId="0" applyAlignment="1" applyBorder="1" applyFont="1">
      <alignment readingOrder="0"/>
    </xf>
    <xf borderId="37" fillId="8" fontId="7" numFmtId="0" xfId="0" applyAlignment="1" applyBorder="1" applyFont="1">
      <alignment readingOrder="0"/>
    </xf>
    <xf borderId="12" fillId="8" fontId="7" numFmtId="0" xfId="0" applyBorder="1" applyFont="1"/>
    <xf borderId="39" fillId="8" fontId="7" numFmtId="0" xfId="0" applyBorder="1" applyFont="1"/>
    <xf borderId="12" fillId="16" fontId="7" numFmtId="168" xfId="0" applyAlignment="1" applyBorder="1" applyFont="1" applyNumberFormat="1">
      <alignment readingOrder="0"/>
    </xf>
    <xf borderId="12" fillId="16" fontId="7" numFmtId="167" xfId="0" applyAlignment="1" applyBorder="1" applyFont="1" applyNumberFormat="1">
      <alignment readingOrder="0"/>
    </xf>
    <xf borderId="12" fillId="16" fontId="7" numFmtId="0" xfId="0" applyBorder="1" applyFont="1"/>
  </cellXfs>
  <cellStyles count="1">
    <cellStyle xfId="0" name="Normal" builtinId="0"/>
  </cellStyles>
  <dxfs count="5">
    <dxf>
      <font>
        <color rgb="FFFFFFFF"/>
      </font>
      <fill>
        <patternFill patternType="solid">
          <fgColor rgb="FFFFFFFF"/>
          <bgColor rgb="FFFFFFFF"/>
        </patternFill>
      </fill>
      <border/>
    </dxf>
    <dxf>
      <font>
        <b/>
        <color rgb="FFFFFFFF"/>
      </font>
      <fill>
        <patternFill patternType="solid">
          <fgColor rgb="FF8E7CC3"/>
          <bgColor rgb="FF8E7CC3"/>
        </patternFill>
      </fill>
      <border/>
    </dxf>
    <dxf>
      <font/>
      <fill>
        <patternFill patternType="solid">
          <fgColor rgb="FFE06666"/>
          <bgColor rgb="FFE06666"/>
        </patternFill>
      </fill>
      <border/>
    </dxf>
    <dxf>
      <font/>
      <fill>
        <patternFill patternType="solid">
          <fgColor rgb="FF6AA84F"/>
          <bgColor rgb="FF6AA84F"/>
        </patternFill>
      </fill>
      <border/>
    </dxf>
    <dxf>
      <font/>
      <fill>
        <patternFill patternType="solid">
          <fgColor rgb="FFF1C232"/>
          <bgColor rgb="FFF1C23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57150</xdr:colOff>
      <xdr:row>9</xdr:row>
      <xdr:rowOff>85725</xdr:rowOff>
    </xdr:from>
    <xdr:ext cx="4333875" cy="3790950"/>
    <xdr:pic>
      <xdr:nvPicPr>
        <xdr:cNvPr id="114179251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xdr:colOff>
      <xdr:row>0</xdr:row>
      <xdr:rowOff>19050</xdr:rowOff>
    </xdr:from>
    <xdr:ext cx="1895475" cy="219075"/>
    <xdr:sp>
      <xdr:nvSpPr>
        <xdr:cNvPr id="3" name="Shape 3"/>
        <xdr:cNvSpPr txBox="1"/>
      </xdr:nvSpPr>
      <xdr:spPr>
        <a:xfrm>
          <a:off x="3342375" y="874450"/>
          <a:ext cx="16128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clientData fLocksWithSheet="0"/>
  </xdr:oneCellAnchor>
  <xdr:oneCellAnchor>
    <xdr:from>
      <xdr:col>4</xdr:col>
      <xdr:colOff>28575</xdr:colOff>
      <xdr:row>0</xdr:row>
      <xdr:rowOff>28575</xdr:rowOff>
    </xdr:from>
    <xdr:ext cx="1600200" cy="190500"/>
    <xdr:sp>
      <xdr:nvSpPr>
        <xdr:cNvPr id="4" name="Shape 4"/>
        <xdr:cNvSpPr txBox="1"/>
      </xdr:nvSpPr>
      <xdr:spPr>
        <a:xfrm>
          <a:off x="4938500" y="681850"/>
          <a:ext cx="19188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clientData fLocksWithSheet="0"/>
  </xdr:oneCellAnchor>
  <xdr:oneCellAnchor>
    <xdr:from>
      <xdr:col>11</xdr:col>
      <xdr:colOff>342900</xdr:colOff>
      <xdr:row>0</xdr:row>
      <xdr:rowOff>0</xdr:rowOff>
    </xdr:from>
    <xdr:ext cx="1524000" cy="219075"/>
    <xdr:sp>
      <xdr:nvSpPr>
        <xdr:cNvPr id="5" name="Shape 5"/>
        <xdr:cNvSpPr/>
      </xdr:nvSpPr>
      <xdr:spPr>
        <a:xfrm>
          <a:off x="2231575" y="1701200"/>
          <a:ext cx="1551000" cy="31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pedia.org/wiki/List_of_Magic:_The_Gathering_set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dhrec.com/commanders/durnan-of-the-yawning-portal-passionate-archaeologist" TargetMode="External"/><Relationship Id="rId2" Type="http://schemas.openxmlformats.org/officeDocument/2006/relationships/hyperlink" Target="https://edhrec.com/commanders/ziatora-the-incinerator?f=in%3DBall%20Lightning%3Bin%3DGwenna%2C%20Eyes%20of%20Gaea"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86"/>
    <col customWidth="1" min="2" max="2" width="23.57"/>
    <col customWidth="1" min="3" max="3" width="0.86"/>
    <col customWidth="1" min="4" max="4" width="22.43"/>
    <col customWidth="1" min="5" max="5" width="0.86"/>
    <col customWidth="1" min="6" max="6" width="22.57"/>
    <col customWidth="1" min="7" max="7" width="0.86"/>
    <col customWidth="1" min="8" max="8" width="22.14"/>
    <col customWidth="1" min="9" max="9" width="0.86"/>
    <col customWidth="1" min="10" max="10" width="25.14"/>
    <col customWidth="1" min="11" max="11" width="0.86"/>
    <col customWidth="1" min="12" max="12" width="22.71"/>
    <col customWidth="1" min="13" max="13" width="0.86"/>
    <col customWidth="1" min="14" max="14" width="26.14"/>
    <col customWidth="1" min="15" max="15" width="0.86"/>
    <col customWidth="1" min="16" max="16" width="18.57"/>
    <col customWidth="1" min="17" max="17" width="1.0"/>
    <col customWidth="1" min="18" max="18" width="3.29"/>
    <col customWidth="1" min="19" max="19" width="4.0"/>
    <col customWidth="1" min="20" max="20" width="29.43"/>
    <col customWidth="1" min="21" max="21" width="2.57"/>
    <col customWidth="1" min="22" max="22" width="27.43"/>
    <col customWidth="1" min="23" max="23" width="4.86"/>
  </cols>
  <sheetData>
    <row r="1" ht="15.0" customHeight="1">
      <c r="B1" s="1" t="s">
        <v>0</v>
      </c>
      <c r="F1" s="2" t="s">
        <v>1</v>
      </c>
      <c r="G1" s="3"/>
      <c r="H1" s="4"/>
      <c r="J1" s="2" t="s">
        <v>2</v>
      </c>
      <c r="K1" s="3"/>
      <c r="L1" s="4"/>
      <c r="N1" s="2" t="s">
        <v>3</v>
      </c>
      <c r="O1" s="3"/>
      <c r="P1" s="4"/>
      <c r="R1" s="5" t="str">
        <f>"Cnt. "&amp; sum(S2:S194)</f>
        <v>Cnt. 37</v>
      </c>
      <c r="S1" s="6"/>
      <c r="T1" s="7" t="str">
        <f>"Card Names (Unique cards: " &amp; COUNTA(T2:T302) &amp;")"</f>
        <v>Card Names (Unique cards: 34)</v>
      </c>
      <c r="V1" s="8" t="str">
        <f>TEXTJOIN(CHAR(10), TRUE,$B$19:$D$21, $F3:$F21, $J3:$J21, N3:$N21, $B24:$B44, $F24:$F44, $J24:$J44, $N24:$N44,  $B47:$B67, $F47:$F67, $J47:$J67, $N47:$N67, $B70:$B90, $F70:$F90, $J70:$J90, $N70:$N90, $B93:$B113, $F93:$F113, $J93:$J113, $N93:$N113, $B116:$B131, $F116:$F131, $J116:$J131, $N116:$N131, $B134:$B159, $F134:$F159, $J134:$J159, $N134:$N159)</f>
        <v>Boltbender 
Horizon of Progress 
Change of Plans
Witch-king of Angmar
Voice of Victory
Ainok strike leader
Senu, Keen-Eyed Protector
Practiced Scrollsmith
\Aziza, Mage Tower Captain
Personify
? Eldrazi Confluence
?Goobbue Gardener
?Frenzied Baloth
\Intruder Alarm
?Neko-Te
?Flatline
Agate Instigator token
?Agate Instigator
?Cosmogrand Zenith
\Aziza, Mage Tower Captain
Nanogene Conversion
?Keep Watch
Welcoming vampire 
?Brainstorm
?Share the Spoils
?Wyll's reversal 
?Possessed Portal
\Urza's cave
\Arena of Glory 
\Wild Wasteland
\Urza's cave
\Damping Sphere
\Sidisi, Regent of the Mire
My Precious
\Planar Incision
Frost cliff siege
?Lyla, Holographic Assistant 
?Thirst for Discovery
?Quick Study
Secret Salvage 
Shadow-Rite Priest
Agent venom
?Qarsi Revenant
?Surtr, Fiery Jotun
Adrenaline Jockey
?Star athlete 
?Ashling's Prerogative
?Orcish Lumberjack
\Conduit of Worlds
\Druid Class
\Nissa, Resurgent Animist
\Mina and Denn, Wildborn
\Pair o' Dice Lost
\Loamcrafter Faun
\Horizon of Progress 
\Galadriel's Dismissal
Shadow of the Second Sun
Horizon of Progress 
?Rites of Spring
Winter, Misanthropic Guide
\\Torpor orb
Mox Jasper 
Frost cliff siege
Horizon of Progress 
?Echo of Eons
\Tataru Taru
Bilbo thief in the night
Sage of the Beyond
Fortune Teller's Talent 
?Thieving Varmint 
\Trouble in Pairs 
\\Dawn's Truce
Kodama of the West Tree
Rune of Might
\Bear Umbra
\Kami of Whispered Hopes 
\Shield of the Oversoul
Incubation Druid
?Canopy Cover
/Alpha Authority
/Esper Sentinel
?Angelic destiny
?Giant Inheritance
\Restoration Seminar
Underworld Breach
Kroxa, Titan of Death's Hunger
Junji, the Midnight Sky
?Balor
?Dawn's Truce
Auriok Champion
?Ashes of the Abhorrent
\?Leonin Elder
\Pinnacle Monk
\Seething Song
\Molten-Core Maestro
\Unexpected Windfall
\?Spider manifestation </v>
      </c>
    </row>
    <row r="2">
      <c r="B2" s="9" t="s">
        <v>4</v>
      </c>
      <c r="C2" s="10"/>
      <c r="D2" s="11"/>
      <c r="F2" s="12" t="s">
        <v>5</v>
      </c>
      <c r="G2" s="12"/>
      <c r="H2" s="12" t="s">
        <v>6</v>
      </c>
      <c r="J2" s="12" t="s">
        <v>5</v>
      </c>
      <c r="K2" s="12"/>
      <c r="L2" s="12" t="s">
        <v>6</v>
      </c>
      <c r="N2" s="12" t="s">
        <v>5</v>
      </c>
      <c r="O2" s="12"/>
      <c r="P2" s="12" t="s">
        <v>6</v>
      </c>
      <c r="R2" s="13"/>
      <c r="S2" s="14">
        <v>1.0</v>
      </c>
      <c r="T2" s="15" t="str">
        <f t="array" ref="T2:T35">UNIQUE($V$2:$V$300)</f>
        <v>Boltbender </v>
      </c>
      <c r="V2" s="16" t="str">
        <f>IFERROR(__xludf.DUMMYFUNCTION("IF(ISERROR(INDEX(IFERROR(FILTER(SPLIT($V$1, CHAR(10)), NOT(REGEXMATCH(SPLIT($V$1, CHAR(10)), ""\?|\\"")))), ROW()-ROW($T$1:$T$194))), """", INDEX(IFERROR(FILTER(SPLIT($V$1, CHAR(10)), NOT(REGEXMATCH(SPLIT($V$1, CHAR(10)), ""\?|\\"")))), ROW()-ROW($T$1:$T$"&amp;"300)))"),"Boltbender ")</f>
        <v>Boltbender </v>
      </c>
      <c r="W2" s="16">
        <f t="shared" ref="W2:W300" si="1">COUNTIF($V$2:$V$300,$V2)</f>
        <v>1</v>
      </c>
    </row>
    <row r="3">
      <c r="B3" s="17"/>
      <c r="C3" s="18"/>
      <c r="D3" s="6"/>
      <c r="F3" s="19"/>
      <c r="H3" s="19"/>
      <c r="I3" s="19"/>
      <c r="J3" s="19" t="s">
        <v>7</v>
      </c>
      <c r="K3" s="19"/>
      <c r="L3" s="19"/>
      <c r="M3" s="19"/>
      <c r="N3" s="19" t="s">
        <v>8</v>
      </c>
      <c r="R3" s="13"/>
      <c r="S3" s="14">
        <v>3.0</v>
      </c>
      <c r="T3" s="20" t="s">
        <v>7</v>
      </c>
      <c r="V3" s="16" t="str">
        <f>IFERROR(__xludf.DUMMYFUNCTION("IF(ISERROR(INDEX(IFERROR(FILTER(SPLIT($V$1, CHAR(10)), NOT(REGEXMATCH(SPLIT($V$1, CHAR(10)), ""\?|\\"")))), ROW()-ROW($T$1:$T$194))), """", INDEX(IFERROR(FILTER(SPLIT($V$1, CHAR(10)), NOT(REGEXMATCH(SPLIT($V$1, CHAR(10)), ""\?|\\"")))), ROW()-ROW($T$1:$T$"&amp;"300)))"),"Horizon of Progress ")</f>
        <v>Horizon of Progress </v>
      </c>
      <c r="W3" s="16">
        <f t="shared" si="1"/>
        <v>3</v>
      </c>
    </row>
    <row r="4">
      <c r="E4" s="19"/>
      <c r="F4" s="19"/>
      <c r="H4" s="19"/>
      <c r="I4" s="19"/>
      <c r="J4" s="19" t="s">
        <v>9</v>
      </c>
      <c r="M4" s="19"/>
      <c r="N4" s="19" t="s">
        <v>10</v>
      </c>
      <c r="R4" s="13"/>
      <c r="S4" s="14">
        <v>1.0</v>
      </c>
      <c r="T4" s="20" t="s">
        <v>9</v>
      </c>
      <c r="V4" s="16" t="str">
        <f>IFERROR(__xludf.DUMMYFUNCTION("IF(ISERROR(INDEX(IFERROR(FILTER(SPLIT($V$1, CHAR(10)), NOT(REGEXMATCH(SPLIT($V$1, CHAR(10)), ""\?|\\"")))), ROW()-ROW($T$1:$T$194))), """", INDEX(IFERROR(FILTER(SPLIT($V$1, CHAR(10)), NOT(REGEXMATCH(SPLIT($V$1, CHAR(10)), ""\?|\\"")))), ROW()-ROW($T$1:$T$"&amp;"300)))"),"Change of Plans")</f>
        <v>Change of Plans</v>
      </c>
      <c r="W4" s="16">
        <f t="shared" si="1"/>
        <v>1</v>
      </c>
    </row>
    <row r="5">
      <c r="B5" s="21" t="s">
        <v>11</v>
      </c>
      <c r="C5" s="22"/>
      <c r="D5" s="23"/>
      <c r="F5" s="19"/>
      <c r="G5" s="19"/>
      <c r="H5" s="19"/>
      <c r="I5" s="19"/>
      <c r="J5" s="19" t="s">
        <v>12</v>
      </c>
      <c r="M5" s="19"/>
      <c r="N5" s="19" t="s">
        <v>13</v>
      </c>
      <c r="O5" s="19"/>
      <c r="R5" s="13"/>
      <c r="S5" s="14">
        <v>2.0</v>
      </c>
      <c r="T5" s="20" t="s">
        <v>12</v>
      </c>
      <c r="V5" s="16" t="str">
        <f>IFERROR(__xludf.DUMMYFUNCTION("IF(ISERROR(INDEX(IFERROR(FILTER(SPLIT($V$1, CHAR(10)), NOT(REGEXMATCH(SPLIT($V$1, CHAR(10)), ""\?|\\"")))), ROW()-ROW($T$1:$T$194))), """", INDEX(IFERROR(FILTER(SPLIT($V$1, CHAR(10)), NOT(REGEXMATCH(SPLIT($V$1, CHAR(10)), ""\?|\\"")))), ROW()-ROW($T$1:$T$"&amp;"300)))"),"Witch-king of Angmar")</f>
        <v>Witch-king of Angmar</v>
      </c>
      <c r="W5" s="16">
        <f t="shared" si="1"/>
        <v>1</v>
      </c>
    </row>
    <row r="6">
      <c r="B6" s="24" t="s">
        <v>14</v>
      </c>
      <c r="G6" s="19"/>
      <c r="I6" s="19"/>
      <c r="M6" s="19"/>
      <c r="R6" s="13"/>
      <c r="S6" s="14">
        <v>1.0</v>
      </c>
      <c r="T6" s="20" t="s">
        <v>8</v>
      </c>
      <c r="V6" s="16" t="str">
        <f>IFERROR(__xludf.DUMMYFUNCTION("IF(ISERROR(INDEX(IFERROR(FILTER(SPLIT($V$1, CHAR(10)), NOT(REGEXMATCH(SPLIT($V$1, CHAR(10)), ""\?|\\"")))), ROW()-ROW($T$1:$T$194))), """", INDEX(IFERROR(FILTER(SPLIT($V$1, CHAR(10)), NOT(REGEXMATCH(SPLIT($V$1, CHAR(10)), ""\?|\\"")))), ROW()-ROW($T$1:$T$"&amp;"300)))"),"Voice of Victory")</f>
        <v>Voice of Victory</v>
      </c>
      <c r="W6" s="16">
        <f t="shared" si="1"/>
        <v>1</v>
      </c>
    </row>
    <row r="7">
      <c r="R7" s="13"/>
      <c r="S7" s="14">
        <v>2.0</v>
      </c>
      <c r="T7" s="20" t="s">
        <v>10</v>
      </c>
      <c r="V7" s="16" t="str">
        <f>IFERROR(__xludf.DUMMYFUNCTION("IF(ISERROR(INDEX(IFERROR(FILTER(SPLIT($V$1, CHAR(10)), NOT(REGEXMATCH(SPLIT($V$1, CHAR(10)), ""\?|\\"")))), ROW()-ROW($T$1:$T$194))), """", INDEX(IFERROR(FILTER(SPLIT($V$1, CHAR(10)), NOT(REGEXMATCH(SPLIT($V$1, CHAR(10)), ""\?|\\"")))), ROW()-ROW($T$1:$T$"&amp;"300)))"),"Ainok strike leader")</f>
        <v>Ainok strike leader</v>
      </c>
      <c r="W7" s="16">
        <f t="shared" si="1"/>
        <v>1</v>
      </c>
    </row>
    <row r="8">
      <c r="B8" s="25" t="s">
        <v>15</v>
      </c>
      <c r="C8" s="18"/>
      <c r="D8" s="6"/>
      <c r="O8" s="19"/>
      <c r="R8" s="13"/>
      <c r="S8" s="14">
        <v>1.0</v>
      </c>
      <c r="T8" s="20" t="s">
        <v>13</v>
      </c>
      <c r="V8" s="16" t="str">
        <f>IFERROR(__xludf.DUMMYFUNCTION("IF(ISERROR(INDEX(IFERROR(FILTER(SPLIT($V$1, CHAR(10)), NOT(REGEXMATCH(SPLIT($V$1, CHAR(10)), ""\?|\\"")))), ROW()-ROW($T$1:$T$194))), """", INDEX(IFERROR(FILTER(SPLIT($V$1, CHAR(10)), NOT(REGEXMATCH(SPLIT($V$1, CHAR(10)), ""\?|\\"")))), ROW()-ROW($T$1:$T$"&amp;"300)))"),"Senu, Keen-Eyed Protector")</f>
        <v>Senu, Keen-Eyed Protector</v>
      </c>
      <c r="W8" s="16">
        <f t="shared" si="1"/>
        <v>1</v>
      </c>
    </row>
    <row r="9">
      <c r="B9" s="24" t="s">
        <v>16</v>
      </c>
      <c r="O9" s="19"/>
      <c r="R9" s="13"/>
      <c r="S9" s="14">
        <v>1.0</v>
      </c>
      <c r="T9" s="20" t="s">
        <v>17</v>
      </c>
      <c r="V9" s="16" t="str">
        <f>IFERROR(__xludf.DUMMYFUNCTION("IF(ISERROR(INDEX(IFERROR(FILTER(SPLIT($V$1, CHAR(10)), NOT(REGEXMATCH(SPLIT($V$1, CHAR(10)), ""\?|\\"")))), ROW()-ROW($T$1:$T$194))), """", INDEX(IFERROR(FILTER(SPLIT($V$1, CHAR(10)), NOT(REGEXMATCH(SPLIT($V$1, CHAR(10)), ""\?|\\"")))), ROW()-ROW($T$1:$T$"&amp;"300)))"),"Practiced Scrollsmith")</f>
        <v>Practiced Scrollsmith</v>
      </c>
      <c r="W9" s="16">
        <f t="shared" si="1"/>
        <v>1</v>
      </c>
    </row>
    <row r="10" ht="15.75" customHeight="1">
      <c r="R10" s="13"/>
      <c r="S10" s="14">
        <v>1.0</v>
      </c>
      <c r="T10" s="20" t="s">
        <v>18</v>
      </c>
      <c r="V10" s="16" t="str">
        <f>IFERROR(__xludf.DUMMYFUNCTION("IF(ISERROR(INDEX(IFERROR(FILTER(SPLIT($V$1, CHAR(10)), NOT(REGEXMATCH(SPLIT($V$1, CHAR(10)), ""\?|\\"")))), ROW()-ROW($T$1:$T$194))), """", INDEX(IFERROR(FILTER(SPLIT($V$1, CHAR(10)), NOT(REGEXMATCH(SPLIT($V$1, CHAR(10)), ""\?|\\"")))), ROW()-ROW($T$1:$T$"&amp;"300)))"),"Personify")</f>
        <v>Personify</v>
      </c>
      <c r="W10" s="16">
        <f t="shared" si="1"/>
        <v>1</v>
      </c>
    </row>
    <row r="11">
      <c r="B11" s="26" t="s">
        <v>19</v>
      </c>
      <c r="C11" s="18"/>
      <c r="D11" s="6"/>
      <c r="F11" s="19"/>
      <c r="G11" s="19"/>
      <c r="O11" s="19"/>
      <c r="R11" s="13"/>
      <c r="S11" s="14">
        <v>1.0</v>
      </c>
      <c r="T11" s="20" t="s">
        <v>20</v>
      </c>
      <c r="V11" s="16" t="str">
        <f>IFERROR(__xludf.DUMMYFUNCTION("IF(ISERROR(INDEX(IFERROR(FILTER(SPLIT($V$1, CHAR(10)), NOT(REGEXMATCH(SPLIT($V$1, CHAR(10)), ""\?|\\"")))), ROW()-ROW($T$1:$T$194))), """", INDEX(IFERROR(FILTER(SPLIT($V$1, CHAR(10)), NOT(REGEXMATCH(SPLIT($V$1, CHAR(10)), ""\?|\\"")))), ROW()-ROW($T$1:$T$"&amp;"300)))"),"Agate Instigator token")</f>
        <v>Agate Instigator token</v>
      </c>
      <c r="W11" s="16">
        <f t="shared" si="1"/>
        <v>1</v>
      </c>
    </row>
    <row r="12">
      <c r="B12" s="27" t="s">
        <v>21</v>
      </c>
      <c r="G12" s="19"/>
      <c r="O12" s="19"/>
      <c r="P12" s="19"/>
      <c r="R12" s="13"/>
      <c r="S12" s="14">
        <v>1.0</v>
      </c>
      <c r="T12" s="20" t="s">
        <v>22</v>
      </c>
      <c r="V12" s="16" t="str">
        <f>IFERROR(__xludf.DUMMYFUNCTION("IF(ISERROR(INDEX(IFERROR(FILTER(SPLIT($V$1, CHAR(10)), NOT(REGEXMATCH(SPLIT($V$1, CHAR(10)), ""\?|\\"")))), ROW()-ROW($T$1:$T$194))), """", INDEX(IFERROR(FILTER(SPLIT($V$1, CHAR(10)), NOT(REGEXMATCH(SPLIT($V$1, CHAR(10)), ""\?|\\"")))), ROW()-ROW($T$1:$T$"&amp;"300)))"),"Nanogene Conversion")</f>
        <v>Nanogene Conversion</v>
      </c>
      <c r="W12" s="16">
        <f t="shared" si="1"/>
        <v>1</v>
      </c>
    </row>
    <row r="13">
      <c r="F13" s="19"/>
      <c r="G13" s="19"/>
      <c r="O13" s="19"/>
      <c r="P13" s="19"/>
      <c r="R13" s="13"/>
      <c r="S13" s="14">
        <v>1.0</v>
      </c>
      <c r="T13" s="20" t="s">
        <v>23</v>
      </c>
      <c r="V13" s="16" t="str">
        <f>IFERROR(__xludf.DUMMYFUNCTION("IF(ISERROR(INDEX(IFERROR(FILTER(SPLIT($V$1, CHAR(10)), NOT(REGEXMATCH(SPLIT($V$1, CHAR(10)), ""\?|\\"")))), ROW()-ROW($T$1:$T$194))), """", INDEX(IFERROR(FILTER(SPLIT($V$1, CHAR(10)), NOT(REGEXMATCH(SPLIT($V$1, CHAR(10)), ""\?|\\"")))), ROW()-ROW($T$1:$T$"&amp;"300)))"),"Welcoming vampire ")</f>
        <v>Welcoming vampire </v>
      </c>
      <c r="W13" s="16">
        <f t="shared" si="1"/>
        <v>1</v>
      </c>
    </row>
    <row r="14">
      <c r="B14" s="26" t="s">
        <v>24</v>
      </c>
      <c r="C14" s="18"/>
      <c r="D14" s="6"/>
      <c r="G14" s="19"/>
      <c r="O14" s="19"/>
      <c r="P14" s="19"/>
      <c r="R14" s="13"/>
      <c r="S14" s="14">
        <v>1.0</v>
      </c>
      <c r="T14" s="20" t="s">
        <v>25</v>
      </c>
      <c r="V14" s="16" t="str">
        <f>IFERROR(__xludf.DUMMYFUNCTION("IF(ISERROR(INDEX(IFERROR(FILTER(SPLIT($V$1, CHAR(10)), NOT(REGEXMATCH(SPLIT($V$1, CHAR(10)), ""\?|\\"")))), ROW()-ROW($T$1:$T$194))), """", INDEX(IFERROR(FILTER(SPLIT($V$1, CHAR(10)), NOT(REGEXMATCH(SPLIT($V$1, CHAR(10)), ""\?|\\"")))), ROW()-ROW($T$1:$T$"&amp;"300)))"),"My Precious")</f>
        <v>My Precious</v>
      </c>
      <c r="W14" s="16">
        <f t="shared" si="1"/>
        <v>1</v>
      </c>
    </row>
    <row r="15">
      <c r="B15" s="28" t="s">
        <v>26</v>
      </c>
      <c r="O15" s="19"/>
      <c r="P15" s="19"/>
      <c r="R15" s="13"/>
      <c r="S15" s="14">
        <v>1.0</v>
      </c>
      <c r="T15" s="20" t="s">
        <v>27</v>
      </c>
      <c r="V15" s="16" t="str">
        <f>IFERROR(__xludf.DUMMYFUNCTION("IF(ISERROR(INDEX(IFERROR(FILTER(SPLIT($V$1, CHAR(10)), NOT(REGEXMATCH(SPLIT($V$1, CHAR(10)), ""\?|\\"")))), ROW()-ROW($T$1:$T$194))), """", INDEX(IFERROR(FILTER(SPLIT($V$1, CHAR(10)), NOT(REGEXMATCH(SPLIT($V$1, CHAR(10)), ""\?|\\"")))), ROW()-ROW($T$1:$T$"&amp;"300)))"),"Frost cliff siege")</f>
        <v>Frost cliff siege</v>
      </c>
      <c r="W15" s="16">
        <f t="shared" si="1"/>
        <v>2</v>
      </c>
    </row>
    <row r="16">
      <c r="G16" s="19"/>
      <c r="H16" s="19"/>
      <c r="I16" s="19"/>
      <c r="M16" s="19"/>
      <c r="O16" s="19"/>
      <c r="P16" s="19"/>
      <c r="R16" s="13"/>
      <c r="S16" s="14">
        <v>1.0</v>
      </c>
      <c r="T16" s="20" t="s">
        <v>28</v>
      </c>
      <c r="V16" s="16" t="str">
        <f>IFERROR(__xludf.DUMMYFUNCTION("IF(ISERROR(INDEX(IFERROR(FILTER(SPLIT($V$1, CHAR(10)), NOT(REGEXMATCH(SPLIT($V$1, CHAR(10)), ""\?|\\"")))), ROW()-ROW($T$1:$T$194))), """", INDEX(IFERROR(FILTER(SPLIT($V$1, CHAR(10)), NOT(REGEXMATCH(SPLIT($V$1, CHAR(10)), ""\?|\\"")))), ROW()-ROW($T$1:$T$"&amp;"300)))"),"Secret Salvage ")</f>
        <v>Secret Salvage </v>
      </c>
      <c r="W16" s="16">
        <f t="shared" si="1"/>
        <v>1</v>
      </c>
    </row>
    <row r="17">
      <c r="B17" s="29" t="s">
        <v>29</v>
      </c>
      <c r="C17" s="3"/>
      <c r="D17" s="4"/>
      <c r="F17" s="19"/>
      <c r="G17" s="19"/>
      <c r="H17" s="19"/>
      <c r="I17" s="19"/>
      <c r="K17" s="19"/>
      <c r="L17" s="19"/>
      <c r="M17" s="19"/>
      <c r="N17" s="30"/>
      <c r="O17" s="19"/>
      <c r="P17" s="19"/>
      <c r="R17" s="13"/>
      <c r="S17" s="14">
        <v>1.0</v>
      </c>
      <c r="T17" s="20" t="s">
        <v>30</v>
      </c>
      <c r="V17" s="16" t="str">
        <f>IFERROR(__xludf.DUMMYFUNCTION("IF(ISERROR(INDEX(IFERROR(FILTER(SPLIT($V$1, CHAR(10)), NOT(REGEXMATCH(SPLIT($V$1, CHAR(10)), ""\?|\\"")))), ROW()-ROW($T$1:$T$194))), """", INDEX(IFERROR(FILTER(SPLIT($V$1, CHAR(10)), NOT(REGEXMATCH(SPLIT($V$1, CHAR(10)), ""\?|\\"")))), ROW()-ROW($T$1:$T$"&amp;"300)))"),"Shadow-Rite Priest")</f>
        <v>Shadow-Rite Priest</v>
      </c>
      <c r="W17" s="16">
        <f t="shared" si="1"/>
        <v>1</v>
      </c>
    </row>
    <row r="18">
      <c r="B18" s="12" t="s">
        <v>5</v>
      </c>
      <c r="C18" s="12"/>
      <c r="D18" s="12" t="s">
        <v>5</v>
      </c>
      <c r="G18" s="19"/>
      <c r="H18" s="19"/>
      <c r="I18" s="19"/>
      <c r="K18" s="19"/>
      <c r="L18" s="19"/>
      <c r="M18" s="19"/>
      <c r="O18" s="19"/>
      <c r="R18" s="13"/>
      <c r="S18" s="31">
        <f t="shared" ref="S18:S300" si="2">IF($T18="","",IFERROR(VLOOKUP($T18,$V$2:$W$300,2,FALSE),""))</f>
        <v>1</v>
      </c>
      <c r="T18" s="32" t="s">
        <v>31</v>
      </c>
      <c r="V18" s="16" t="str">
        <f>IFERROR(__xludf.DUMMYFUNCTION("IF(ISERROR(INDEX(IFERROR(FILTER(SPLIT($V$1, CHAR(10)), NOT(REGEXMATCH(SPLIT($V$1, CHAR(10)), ""\?|\\"")))), ROW()-ROW($T$1:$T$194))), """", INDEX(IFERROR(FILTER(SPLIT($V$1, CHAR(10)), NOT(REGEXMATCH(SPLIT($V$1, CHAR(10)), ""\?|\\"")))), ROW()-ROW($T$1:$T$"&amp;"300)))"),"Agent venom")</f>
        <v>Agent venom</v>
      </c>
      <c r="W18" s="16">
        <f t="shared" si="1"/>
        <v>1</v>
      </c>
    </row>
    <row r="19">
      <c r="B19" s="30"/>
      <c r="C19" s="30"/>
      <c r="D19" s="30"/>
      <c r="G19" s="19"/>
      <c r="I19" s="19"/>
      <c r="K19" s="19"/>
      <c r="L19" s="19"/>
      <c r="M19" s="19"/>
      <c r="O19" s="19"/>
      <c r="P19" s="19"/>
      <c r="R19" s="13"/>
      <c r="S19" s="31">
        <f t="shared" si="2"/>
        <v>1</v>
      </c>
      <c r="T19" s="32" t="s">
        <v>32</v>
      </c>
      <c r="V19" s="16" t="str">
        <f>IFERROR(__xludf.DUMMYFUNCTION("IF(ISERROR(INDEX(IFERROR(FILTER(SPLIT($V$1, CHAR(10)), NOT(REGEXMATCH(SPLIT($V$1, CHAR(10)), ""\?|\\"")))), ROW()-ROW($T$1:$T$194))), """", INDEX(IFERROR(FILTER(SPLIT($V$1, CHAR(10)), NOT(REGEXMATCH(SPLIT($V$1, CHAR(10)), ""\?|\\"")))), ROW()-ROW($T$1:$T$"&amp;"300)))"),"Adrenaline Jockey")</f>
        <v>Adrenaline Jockey</v>
      </c>
      <c r="W19" s="16">
        <f t="shared" si="1"/>
        <v>1</v>
      </c>
    </row>
    <row r="20">
      <c r="B20" s="30" t="s">
        <v>33</v>
      </c>
      <c r="C20" s="30"/>
      <c r="D20" s="30"/>
      <c r="G20" s="19"/>
      <c r="H20" s="19"/>
      <c r="I20" s="19"/>
      <c r="K20" s="19"/>
      <c r="M20" s="19"/>
      <c r="O20" s="19"/>
      <c r="P20" s="19"/>
      <c r="R20" s="13"/>
      <c r="S20" s="31">
        <f t="shared" si="2"/>
        <v>1</v>
      </c>
      <c r="T20" s="32" t="s">
        <v>34</v>
      </c>
      <c r="V20" s="16" t="str">
        <f>IFERROR(__xludf.DUMMYFUNCTION("IF(ISERROR(INDEX(IFERROR(FILTER(SPLIT($V$1, CHAR(10)), NOT(REGEXMATCH(SPLIT($V$1, CHAR(10)), ""\?|\\"")))), ROW()-ROW($T$1:$T$194))), """", INDEX(IFERROR(FILTER(SPLIT($V$1, CHAR(10)), NOT(REGEXMATCH(SPLIT($V$1, CHAR(10)), ""\?|\\"")))), ROW()-ROW($T$1:$T$"&amp;"300)))"),"Shadow of the Second Sun")</f>
        <v>Shadow of the Second Sun</v>
      </c>
      <c r="W20" s="16">
        <f t="shared" si="1"/>
        <v>1</v>
      </c>
    </row>
    <row r="21">
      <c r="B21" s="19"/>
      <c r="C21" s="30"/>
      <c r="D21" s="30"/>
      <c r="G21" s="19"/>
      <c r="H21" s="19"/>
      <c r="I21" s="19"/>
      <c r="K21" s="19"/>
      <c r="L21" s="19"/>
      <c r="M21" s="19"/>
      <c r="N21" s="19"/>
      <c r="O21" s="19"/>
      <c r="R21" s="13"/>
      <c r="S21" s="31">
        <f t="shared" si="2"/>
        <v>1</v>
      </c>
      <c r="T21" s="32" t="s">
        <v>35</v>
      </c>
      <c r="V21" s="16" t="str">
        <f>IFERROR(__xludf.DUMMYFUNCTION("IF(ISERROR(INDEX(IFERROR(FILTER(SPLIT($V$1, CHAR(10)), NOT(REGEXMATCH(SPLIT($V$1, CHAR(10)), ""\?|\\"")))), ROW()-ROW($T$1:$T$194))), """", INDEX(IFERROR(FILTER(SPLIT($V$1, CHAR(10)), NOT(REGEXMATCH(SPLIT($V$1, CHAR(10)), ""\?|\\"")))), ROW()-ROW($T$1:$T$"&amp;"300)))"),"Horizon of Progress ")</f>
        <v>Horizon of Progress </v>
      </c>
      <c r="W21" s="16">
        <f t="shared" si="1"/>
        <v>3</v>
      </c>
    </row>
    <row r="22">
      <c r="B22" s="2" t="s">
        <v>36</v>
      </c>
      <c r="C22" s="3"/>
      <c r="D22" s="4"/>
      <c r="F22" s="2" t="s">
        <v>37</v>
      </c>
      <c r="G22" s="3"/>
      <c r="H22" s="4"/>
      <c r="J22" s="2" t="s">
        <v>38</v>
      </c>
      <c r="K22" s="3"/>
      <c r="L22" s="4"/>
      <c r="N22" s="2" t="s">
        <v>39</v>
      </c>
      <c r="O22" s="3"/>
      <c r="P22" s="4"/>
      <c r="R22" s="13"/>
      <c r="S22" s="31">
        <f t="shared" si="2"/>
        <v>1</v>
      </c>
      <c r="T22" s="32" t="s">
        <v>40</v>
      </c>
      <c r="V22" s="16" t="str">
        <f>IFERROR(__xludf.DUMMYFUNCTION("IF(ISERROR(INDEX(IFERROR(FILTER(SPLIT($V$1, CHAR(10)), NOT(REGEXMATCH(SPLIT($V$1, CHAR(10)), ""\?|\\"")))), ROW()-ROW($T$1:$T$194))), """", INDEX(IFERROR(FILTER(SPLIT($V$1, CHAR(10)), NOT(REGEXMATCH(SPLIT($V$1, CHAR(10)), ""\?|\\"")))), ROW()-ROW($T$1:$T$"&amp;"300)))"),"Winter, Misanthropic Guide")</f>
        <v>Winter, Misanthropic Guide</v>
      </c>
      <c r="W22" s="16">
        <f t="shared" si="1"/>
        <v>1</v>
      </c>
    </row>
    <row r="23">
      <c r="B23" s="12" t="s">
        <v>5</v>
      </c>
      <c r="C23" s="12"/>
      <c r="D23" s="12" t="s">
        <v>6</v>
      </c>
      <c r="F23" s="12" t="s">
        <v>5</v>
      </c>
      <c r="G23" s="12"/>
      <c r="H23" s="12" t="s">
        <v>6</v>
      </c>
      <c r="J23" s="12" t="s">
        <v>5</v>
      </c>
      <c r="K23" s="12"/>
      <c r="L23" s="12" t="s">
        <v>6</v>
      </c>
      <c r="N23" s="12" t="s">
        <v>5</v>
      </c>
      <c r="O23" s="12"/>
      <c r="P23" s="12" t="s">
        <v>6</v>
      </c>
      <c r="R23" s="13"/>
      <c r="S23" s="31">
        <f t="shared" si="2"/>
        <v>1</v>
      </c>
      <c r="T23" s="32" t="s">
        <v>41</v>
      </c>
      <c r="V23" s="16" t="str">
        <f>IFERROR(__xludf.DUMMYFUNCTION("IF(ISERROR(INDEX(IFERROR(FILTER(SPLIT($V$1, CHAR(10)), NOT(REGEXMATCH(SPLIT($V$1, CHAR(10)), ""\?|\\"")))), ROW()-ROW($T$1:$T$194))), """", INDEX(IFERROR(FILTER(SPLIT($V$1, CHAR(10)), NOT(REGEXMATCH(SPLIT($V$1, CHAR(10)), ""\?|\\"")))), ROW()-ROW($T$1:$T$"&amp;"300)))"),"Mox Jasper ")</f>
        <v>Mox Jasper </v>
      </c>
      <c r="W23" s="16">
        <f t="shared" si="1"/>
        <v>1</v>
      </c>
    </row>
    <row r="24">
      <c r="B24" s="19" t="s">
        <v>17</v>
      </c>
      <c r="D24" s="19" t="s">
        <v>42</v>
      </c>
      <c r="E24" s="19"/>
      <c r="F24" s="19" t="s">
        <v>43</v>
      </c>
      <c r="I24" s="19"/>
      <c r="J24" s="19" t="s">
        <v>44</v>
      </c>
      <c r="M24" s="19"/>
      <c r="N24" s="19" t="s">
        <v>20</v>
      </c>
      <c r="R24" s="13"/>
      <c r="S24" s="31">
        <f t="shared" si="2"/>
        <v>1</v>
      </c>
      <c r="T24" s="32" t="s">
        <v>45</v>
      </c>
      <c r="V24" s="16" t="str">
        <f>IFERROR(__xludf.DUMMYFUNCTION("IF(ISERROR(INDEX(IFERROR(FILTER(SPLIT($V$1, CHAR(10)), NOT(REGEXMATCH(SPLIT($V$1, CHAR(10)), ""\?|\\"")))), ROW()-ROW($T$1:$T$194))), """", INDEX(IFERROR(FILTER(SPLIT($V$1, CHAR(10)), NOT(REGEXMATCH(SPLIT($V$1, CHAR(10)), ""\?|\\"")))), ROW()-ROW($T$1:$T$"&amp;"300)))"),"Frost cliff siege")</f>
        <v>Frost cliff siege</v>
      </c>
      <c r="W24" s="16">
        <f t="shared" si="1"/>
        <v>2</v>
      </c>
    </row>
    <row r="25">
      <c r="B25" s="19" t="s">
        <v>46</v>
      </c>
      <c r="C25" s="33"/>
      <c r="E25" s="19"/>
      <c r="F25" s="19" t="s">
        <v>47</v>
      </c>
      <c r="I25" s="19"/>
      <c r="M25" s="19"/>
      <c r="R25" s="13"/>
      <c r="S25" s="31">
        <f t="shared" si="2"/>
        <v>1</v>
      </c>
      <c r="T25" s="32" t="s">
        <v>48</v>
      </c>
      <c r="V25" s="16" t="str">
        <f>IFERROR(__xludf.DUMMYFUNCTION("IF(ISERROR(INDEX(IFERROR(FILTER(SPLIT($V$1, CHAR(10)), NOT(REGEXMATCH(SPLIT($V$1, CHAR(10)), ""\?|\\"")))), ROW()-ROW($T$1:$T$194))), """", INDEX(IFERROR(FILTER(SPLIT($V$1, CHAR(10)), NOT(REGEXMATCH(SPLIT($V$1, CHAR(10)), ""\?|\\"")))), ROW()-ROW($T$1:$T$"&amp;"300)))"),"Horizon of Progress ")</f>
        <v>Horizon of Progress </v>
      </c>
      <c r="W25" s="16">
        <f t="shared" si="1"/>
        <v>3</v>
      </c>
    </row>
    <row r="26">
      <c r="B26" s="19" t="s">
        <v>18</v>
      </c>
      <c r="E26" s="19"/>
      <c r="I26" s="19"/>
      <c r="M26" s="19"/>
      <c r="R26" s="13"/>
      <c r="S26" s="31">
        <f t="shared" si="2"/>
        <v>1</v>
      </c>
      <c r="T26" s="32" t="s">
        <v>49</v>
      </c>
      <c r="V26" s="16" t="str">
        <f>IFERROR(__xludf.DUMMYFUNCTION("IF(ISERROR(INDEX(IFERROR(FILTER(SPLIT($V$1, CHAR(10)), NOT(REGEXMATCH(SPLIT($V$1, CHAR(10)), ""\?|\\"")))), ROW()-ROW($T$1:$T$194))), """", INDEX(IFERROR(FILTER(SPLIT($V$1, CHAR(10)), NOT(REGEXMATCH(SPLIT($V$1, CHAR(10)), ""\?|\\"")))), ROW()-ROW($T$1:$T$"&amp;"300)))"),"Bilbo thief in the night")</f>
        <v>Bilbo thief in the night</v>
      </c>
      <c r="W26" s="16">
        <f t="shared" si="1"/>
        <v>1</v>
      </c>
    </row>
    <row r="27">
      <c r="E27" s="19"/>
      <c r="G27" s="19"/>
      <c r="I27" s="19"/>
      <c r="M27" s="19"/>
      <c r="Q27" s="34"/>
      <c r="R27" s="35"/>
      <c r="S27" s="31">
        <f t="shared" si="2"/>
        <v>1</v>
      </c>
      <c r="T27" s="32" t="s">
        <v>50</v>
      </c>
      <c r="V27" s="16" t="str">
        <f>IFERROR(__xludf.DUMMYFUNCTION("IF(ISERROR(INDEX(IFERROR(FILTER(SPLIT($V$1, CHAR(10)), NOT(REGEXMATCH(SPLIT($V$1, CHAR(10)), ""\?|\\"")))), ROW()-ROW($T$1:$T$194))), """", INDEX(IFERROR(FILTER(SPLIT($V$1, CHAR(10)), NOT(REGEXMATCH(SPLIT($V$1, CHAR(10)), ""\?|\\"")))), ROW()-ROW($T$1:$T$"&amp;"300)))"),"Sage of the Beyond")</f>
        <v>Sage of the Beyond</v>
      </c>
      <c r="W27" s="16">
        <f t="shared" si="1"/>
        <v>1</v>
      </c>
    </row>
    <row r="28">
      <c r="E28" s="19"/>
      <c r="G28" s="19"/>
      <c r="H28" s="19"/>
      <c r="I28" s="19"/>
      <c r="M28" s="19"/>
      <c r="Q28" s="34"/>
      <c r="R28" s="35"/>
      <c r="S28" s="31">
        <f t="shared" si="2"/>
        <v>1</v>
      </c>
      <c r="T28" s="32" t="s">
        <v>51</v>
      </c>
      <c r="V28" s="16" t="str">
        <f>IFERROR(__xludf.DUMMYFUNCTION("IF(ISERROR(INDEX(IFERROR(FILTER(SPLIT($V$1, CHAR(10)), NOT(REGEXMATCH(SPLIT($V$1, CHAR(10)), ""\?|\\"")))), ROW()-ROW($T$1:$T$194))), """", INDEX(IFERROR(FILTER(SPLIT($V$1, CHAR(10)), NOT(REGEXMATCH(SPLIT($V$1, CHAR(10)), ""\?|\\"")))), ROW()-ROW($T$1:$T$"&amp;"300)))"),"Fortune Teller's Talent ")</f>
        <v>Fortune Teller's Talent </v>
      </c>
      <c r="W28" s="16">
        <f t="shared" si="1"/>
        <v>1</v>
      </c>
    </row>
    <row r="29">
      <c r="E29" s="19"/>
      <c r="G29" s="19"/>
      <c r="H29" s="19"/>
      <c r="I29" s="19"/>
      <c r="M29" s="19"/>
      <c r="Q29" s="19"/>
      <c r="R29" s="36"/>
      <c r="S29" s="31">
        <f t="shared" si="2"/>
        <v>1</v>
      </c>
      <c r="T29" s="32" t="s">
        <v>52</v>
      </c>
      <c r="V29" s="16" t="str">
        <f>IFERROR(__xludf.DUMMYFUNCTION("IF(ISERROR(INDEX(IFERROR(FILTER(SPLIT($V$1, CHAR(10)), NOT(REGEXMATCH(SPLIT($V$1, CHAR(10)), ""\?|\\"")))), ROW()-ROW($T$1:$T$194))), """", INDEX(IFERROR(FILTER(SPLIT($V$1, CHAR(10)), NOT(REGEXMATCH(SPLIT($V$1, CHAR(10)), ""\?|\\"")))), ROW()-ROW($T$1:$T$"&amp;"300)))"),"Kodama of the West Tree")</f>
        <v>Kodama of the West Tree</v>
      </c>
      <c r="W29" s="16">
        <f t="shared" si="1"/>
        <v>1</v>
      </c>
    </row>
    <row r="30">
      <c r="E30" s="19"/>
      <c r="G30" s="19"/>
      <c r="H30" s="19"/>
      <c r="I30" s="19"/>
      <c r="M30" s="19"/>
      <c r="Q30" s="19"/>
      <c r="R30" s="36"/>
      <c r="S30" s="31">
        <f t="shared" si="2"/>
        <v>1</v>
      </c>
      <c r="T30" s="32" t="s">
        <v>53</v>
      </c>
      <c r="V30" s="16" t="str">
        <f>IFERROR(__xludf.DUMMYFUNCTION("IF(ISERROR(INDEX(IFERROR(FILTER(SPLIT($V$1, CHAR(10)), NOT(REGEXMATCH(SPLIT($V$1, CHAR(10)), ""\?|\\"")))), ROW()-ROW($T$1:$T$194))), """", INDEX(IFERROR(FILTER(SPLIT($V$1, CHAR(10)), NOT(REGEXMATCH(SPLIT($V$1, CHAR(10)), ""\?|\\"")))), ROW()-ROW($T$1:$T$"&amp;"300)))"),"Rune of Might")</f>
        <v>Rune of Might</v>
      </c>
      <c r="W30" s="16">
        <f t="shared" si="1"/>
        <v>1</v>
      </c>
    </row>
    <row r="31">
      <c r="E31" s="19"/>
      <c r="G31" s="19"/>
      <c r="H31" s="19"/>
      <c r="I31" s="19"/>
      <c r="M31" s="19"/>
      <c r="Q31" s="19"/>
      <c r="R31" s="36"/>
      <c r="S31" s="31">
        <f t="shared" si="2"/>
        <v>1</v>
      </c>
      <c r="T31" s="32" t="s">
        <v>54</v>
      </c>
      <c r="V31" s="16" t="str">
        <f>IFERROR(__xludf.DUMMYFUNCTION("IF(ISERROR(INDEX(IFERROR(FILTER(SPLIT($V$1, CHAR(10)), NOT(REGEXMATCH(SPLIT($V$1, CHAR(10)), ""\?|\\"")))), ROW()-ROW($T$1:$T$194))), """", INDEX(IFERROR(FILTER(SPLIT($V$1, CHAR(10)), NOT(REGEXMATCH(SPLIT($V$1, CHAR(10)), ""\?|\\"")))), ROW()-ROW($T$1:$T$"&amp;"300)))"),"Incubation Druid")</f>
        <v>Incubation Druid</v>
      </c>
      <c r="W31" s="16">
        <f t="shared" si="1"/>
        <v>1</v>
      </c>
    </row>
    <row r="32">
      <c r="E32" s="19"/>
      <c r="I32" s="19"/>
      <c r="M32" s="19"/>
      <c r="Q32" s="19"/>
      <c r="R32" s="36"/>
      <c r="S32" s="31">
        <f t="shared" si="2"/>
        <v>1</v>
      </c>
      <c r="T32" s="32" t="s">
        <v>55</v>
      </c>
      <c r="V32" s="16" t="str">
        <f>IFERROR(__xludf.DUMMYFUNCTION("IF(ISERROR(INDEX(IFERROR(FILTER(SPLIT($V$1, CHAR(10)), NOT(REGEXMATCH(SPLIT($V$1, CHAR(10)), ""\?|\\"")))), ROW()-ROW($T$1:$T$194))), """", INDEX(IFERROR(FILTER(SPLIT($V$1, CHAR(10)), NOT(REGEXMATCH(SPLIT($V$1, CHAR(10)), ""\?|\\"")))), ROW()-ROW($T$1:$T$"&amp;"300)))"),"/Alpha Authority")</f>
        <v>/Alpha Authority</v>
      </c>
      <c r="W32" s="16">
        <f t="shared" si="1"/>
        <v>1</v>
      </c>
    </row>
    <row r="33">
      <c r="E33" s="19"/>
      <c r="G33" s="19"/>
      <c r="H33" s="19"/>
      <c r="I33" s="19"/>
      <c r="M33" s="19"/>
      <c r="Q33" s="19"/>
      <c r="R33" s="36"/>
      <c r="S33" s="31">
        <f t="shared" si="2"/>
        <v>1</v>
      </c>
      <c r="T33" s="32" t="s">
        <v>56</v>
      </c>
      <c r="V33" s="16" t="str">
        <f>IFERROR(__xludf.DUMMYFUNCTION("IF(ISERROR(INDEX(IFERROR(FILTER(SPLIT($V$1, CHAR(10)), NOT(REGEXMATCH(SPLIT($V$1, CHAR(10)), ""\?|\\"")))), ROW()-ROW($T$1:$T$194))), """", INDEX(IFERROR(FILTER(SPLIT($V$1, CHAR(10)), NOT(REGEXMATCH(SPLIT($V$1, CHAR(10)), ""\?|\\"")))), ROW()-ROW($T$1:$T$"&amp;"300)))"),"/Esper Sentinel")</f>
        <v>/Esper Sentinel</v>
      </c>
      <c r="W33" s="16">
        <f t="shared" si="1"/>
        <v>1</v>
      </c>
    </row>
    <row r="34">
      <c r="E34" s="19"/>
      <c r="G34" s="19"/>
      <c r="H34" s="19"/>
      <c r="I34" s="19"/>
      <c r="M34" s="19"/>
      <c r="O34" s="19"/>
      <c r="Q34" s="19"/>
      <c r="R34" s="36"/>
      <c r="S34" s="31">
        <f t="shared" si="2"/>
        <v>1</v>
      </c>
      <c r="T34" s="32" t="s">
        <v>57</v>
      </c>
      <c r="V34" s="16" t="str">
        <f>IFERROR(__xludf.DUMMYFUNCTION("IF(ISERROR(INDEX(IFERROR(FILTER(SPLIT($V$1, CHAR(10)), NOT(REGEXMATCH(SPLIT($V$1, CHAR(10)), ""\?|\\"")))), ROW()-ROW($T$1:$T$194))), """", INDEX(IFERROR(FILTER(SPLIT($V$1, CHAR(10)), NOT(REGEXMATCH(SPLIT($V$1, CHAR(10)), ""\?|\\"")))), ROW()-ROW($T$1:$T$"&amp;"300)))"),"Underworld Breach")</f>
        <v>Underworld Breach</v>
      </c>
      <c r="W34" s="16">
        <f t="shared" si="1"/>
        <v>1</v>
      </c>
    </row>
    <row r="35">
      <c r="E35" s="19"/>
      <c r="G35" s="19"/>
      <c r="H35" s="19"/>
      <c r="I35" s="19"/>
      <c r="M35" s="19"/>
      <c r="Q35" s="19"/>
      <c r="R35" s="36"/>
      <c r="S35" s="31" t="str">
        <f t="shared" si="2"/>
        <v/>
      </c>
      <c r="T35" s="32" t="s">
        <v>58</v>
      </c>
      <c r="V35" s="16" t="str">
        <f>IFERROR(__xludf.DUMMYFUNCTION("IF(ISERROR(INDEX(IFERROR(FILTER(SPLIT($V$1, CHAR(10)), NOT(REGEXMATCH(SPLIT($V$1, CHAR(10)), ""\?|\\"")))), ROW()-ROW($T$1:$T$194))), """", INDEX(IFERROR(FILTER(SPLIT($V$1, CHAR(10)), NOT(REGEXMATCH(SPLIT($V$1, CHAR(10)), ""\?|\\"")))), ROW()-ROW($T$1:$T$"&amp;"300)))"),"Kroxa, Titan of Death's Hunger")</f>
        <v>Kroxa, Titan of Death's Hunger</v>
      </c>
      <c r="W35" s="16">
        <f t="shared" si="1"/>
        <v>1</v>
      </c>
    </row>
    <row r="36">
      <c r="E36" s="19"/>
      <c r="F36" s="19"/>
      <c r="G36" s="19"/>
      <c r="H36" s="19"/>
      <c r="I36" s="19"/>
      <c r="M36" s="19"/>
      <c r="Q36" s="19"/>
      <c r="R36" s="36"/>
      <c r="S36" s="31" t="str">
        <f t="shared" si="2"/>
        <v/>
      </c>
      <c r="T36" s="32"/>
      <c r="V36" s="16" t="str">
        <f>IFERROR(__xludf.DUMMYFUNCTION("IF(ISERROR(INDEX(IFERROR(FILTER(SPLIT($V$1, CHAR(10)), NOT(REGEXMATCH(SPLIT($V$1, CHAR(10)), ""\?|\\"")))), ROW()-ROW($T$1:$T$194))), """", INDEX(IFERROR(FILTER(SPLIT($V$1, CHAR(10)), NOT(REGEXMATCH(SPLIT($V$1, CHAR(10)), ""\?|\\"")))), ROW()-ROW($T$1:$T$"&amp;"300)))"),"Junji, the Midnight Sky")</f>
        <v>Junji, the Midnight Sky</v>
      </c>
      <c r="W36" s="16">
        <f t="shared" si="1"/>
        <v>1</v>
      </c>
    </row>
    <row r="37">
      <c r="B37" s="37"/>
      <c r="E37" s="19"/>
      <c r="F37" s="19"/>
      <c r="G37" s="19"/>
      <c r="H37" s="19"/>
      <c r="I37" s="19"/>
      <c r="K37" s="19"/>
      <c r="L37" s="19"/>
      <c r="M37" s="19"/>
      <c r="Q37" s="19"/>
      <c r="R37" s="36"/>
      <c r="S37" s="31" t="str">
        <f t="shared" si="2"/>
        <v/>
      </c>
      <c r="T37" s="32"/>
      <c r="V37" s="16" t="str">
        <f>IFERROR(__xludf.DUMMYFUNCTION("IF(ISERROR(INDEX(IFERROR(FILTER(SPLIT($V$1, CHAR(10)), NOT(REGEXMATCH(SPLIT($V$1, CHAR(10)), ""\?|\\"")))), ROW()-ROW($T$1:$T$194))), """", INDEX(IFERROR(FILTER(SPLIT($V$1, CHAR(10)), NOT(REGEXMATCH(SPLIT($V$1, CHAR(10)), ""\?|\\"")))), ROW()-ROW($T$1:$T$"&amp;"300)))"),"Auriok Champion")</f>
        <v>Auriok Champion</v>
      </c>
      <c r="W37" s="16">
        <f t="shared" si="1"/>
        <v>1</v>
      </c>
    </row>
    <row r="38">
      <c r="C38" s="19"/>
      <c r="D38" s="19"/>
      <c r="E38" s="19"/>
      <c r="F38" s="19"/>
      <c r="G38" s="19"/>
      <c r="H38" s="19"/>
      <c r="I38" s="19"/>
      <c r="K38" s="19"/>
      <c r="L38" s="19"/>
      <c r="M38" s="19"/>
      <c r="O38" s="19"/>
      <c r="P38" s="19"/>
      <c r="Q38" s="19"/>
      <c r="R38" s="36"/>
      <c r="S38" s="31" t="str">
        <f t="shared" si="2"/>
        <v/>
      </c>
      <c r="T38" s="32"/>
      <c r="V38" s="16" t="str">
        <f>IFERROR(__xludf.DUMMYFUNCTION("IF(ISERROR(INDEX(IFERROR(FILTER(SPLIT($V$1, CHAR(10)), NOT(REGEXMATCH(SPLIT($V$1, CHAR(10)), ""\?|\\"")))), ROW()-ROW($T$1:$T$194))), """", INDEX(IFERROR(FILTER(SPLIT($V$1, CHAR(10)), NOT(REGEXMATCH(SPLIT($V$1, CHAR(10)), ""\?|\\"")))), ROW()-ROW($T$1:$T$"&amp;"300)))"),"")</f>
        <v/>
      </c>
      <c r="W38" s="16">
        <f t="shared" si="1"/>
        <v>263</v>
      </c>
    </row>
    <row r="39">
      <c r="C39" s="19"/>
      <c r="D39" s="19"/>
      <c r="E39" s="19"/>
      <c r="F39" s="19"/>
      <c r="G39" s="19"/>
      <c r="H39" s="19"/>
      <c r="I39" s="19"/>
      <c r="K39" s="19"/>
      <c r="M39" s="19"/>
      <c r="O39" s="19"/>
      <c r="P39" s="19"/>
      <c r="Q39" s="19"/>
      <c r="R39" s="36"/>
      <c r="S39" s="31" t="str">
        <f t="shared" si="2"/>
        <v/>
      </c>
      <c r="T39" s="32"/>
      <c r="V39" s="16" t="str">
        <f>IFERROR(__xludf.DUMMYFUNCTION("IF(ISERROR(INDEX(IFERROR(FILTER(SPLIT($V$1, CHAR(10)), NOT(REGEXMATCH(SPLIT($V$1, CHAR(10)), ""\?|\\"")))), ROW()-ROW($T$1:$T$194))), """", INDEX(IFERROR(FILTER(SPLIT($V$1, CHAR(10)), NOT(REGEXMATCH(SPLIT($V$1, CHAR(10)), ""\?|\\"")))), ROW()-ROW($T$1:$T$"&amp;"300)))"),"")</f>
        <v/>
      </c>
      <c r="W39" s="16">
        <f t="shared" si="1"/>
        <v>263</v>
      </c>
    </row>
    <row r="40">
      <c r="B40" s="19"/>
      <c r="C40" s="19"/>
      <c r="D40" s="19"/>
      <c r="E40" s="19"/>
      <c r="F40" s="19"/>
      <c r="G40" s="19"/>
      <c r="H40" s="19"/>
      <c r="I40" s="19"/>
      <c r="K40" s="19"/>
      <c r="L40" s="19"/>
      <c r="M40" s="19"/>
      <c r="O40" s="19"/>
      <c r="P40" s="19"/>
      <c r="Q40" s="19"/>
      <c r="R40" s="36"/>
      <c r="S40" s="31" t="str">
        <f t="shared" si="2"/>
        <v/>
      </c>
      <c r="T40" s="32"/>
      <c r="V40" s="16" t="str">
        <f>IFERROR(__xludf.DUMMYFUNCTION("IF(ISERROR(INDEX(IFERROR(FILTER(SPLIT($V$1, CHAR(10)), NOT(REGEXMATCH(SPLIT($V$1, CHAR(10)), ""\?|\\"")))), ROW()-ROW($T$1:$T$194))), """", INDEX(IFERROR(FILTER(SPLIT($V$1, CHAR(10)), NOT(REGEXMATCH(SPLIT($V$1, CHAR(10)), ""\?|\\"")))), ROW()-ROW($T$1:$T$"&amp;"300)))"),"")</f>
        <v/>
      </c>
      <c r="W40" s="16">
        <f t="shared" si="1"/>
        <v>263</v>
      </c>
    </row>
    <row r="41">
      <c r="B41" s="19" t="s">
        <v>59</v>
      </c>
      <c r="C41" s="19"/>
      <c r="D41" s="19"/>
      <c r="E41" s="19"/>
      <c r="F41" s="19"/>
      <c r="G41" s="19"/>
      <c r="H41" s="19"/>
      <c r="I41" s="19"/>
      <c r="K41" s="19"/>
      <c r="L41" s="19"/>
      <c r="M41" s="19"/>
      <c r="O41" s="19"/>
      <c r="P41" s="19"/>
      <c r="Q41" s="19"/>
      <c r="R41" s="36"/>
      <c r="S41" s="31" t="str">
        <f t="shared" si="2"/>
        <v/>
      </c>
      <c r="T41" s="32"/>
      <c r="V41" s="16" t="str">
        <f>IFERROR(__xludf.DUMMYFUNCTION("IF(ISERROR(INDEX(IFERROR(FILTER(SPLIT($V$1, CHAR(10)), NOT(REGEXMATCH(SPLIT($V$1, CHAR(10)), ""\?|\\"")))), ROW()-ROW($T$1:$T$194))), """", INDEX(IFERROR(FILTER(SPLIT($V$1, CHAR(10)), NOT(REGEXMATCH(SPLIT($V$1, CHAR(10)), ""\?|\\"")))), ROW()-ROW($T$1:$T$"&amp;"300)))"),"")</f>
        <v/>
      </c>
      <c r="W41" s="16">
        <f t="shared" si="1"/>
        <v>263</v>
      </c>
    </row>
    <row r="42">
      <c r="C42" s="19"/>
      <c r="D42" s="19"/>
      <c r="E42" s="19"/>
      <c r="F42" s="19"/>
      <c r="G42" s="19"/>
      <c r="H42" s="19"/>
      <c r="I42" s="19"/>
      <c r="J42" s="19" t="s">
        <v>60</v>
      </c>
      <c r="K42" s="19"/>
      <c r="L42" s="19"/>
      <c r="M42" s="19"/>
      <c r="N42" s="19" t="s">
        <v>61</v>
      </c>
      <c r="O42" s="19"/>
      <c r="P42" s="19"/>
      <c r="Q42" s="19"/>
      <c r="R42" s="36"/>
      <c r="S42" s="31" t="str">
        <f t="shared" si="2"/>
        <v/>
      </c>
      <c r="T42" s="32"/>
      <c r="V42" s="16" t="str">
        <f>IFERROR(__xludf.DUMMYFUNCTION("IF(ISERROR(INDEX(IFERROR(FILTER(SPLIT($V$1, CHAR(10)), NOT(REGEXMATCH(SPLIT($V$1, CHAR(10)), ""\?|\\"")))), ROW()-ROW($T$1:$T$194))), """", INDEX(IFERROR(FILTER(SPLIT($V$1, CHAR(10)), NOT(REGEXMATCH(SPLIT($V$1, CHAR(10)), ""\?|\\"")))), ROW()-ROW($T$1:$T$"&amp;"300)))"),"")</f>
        <v/>
      </c>
      <c r="W42" s="16">
        <f t="shared" si="1"/>
        <v>263</v>
      </c>
    </row>
    <row r="43">
      <c r="C43" s="19"/>
      <c r="D43" s="19"/>
      <c r="E43" s="19"/>
      <c r="F43" s="19"/>
      <c r="G43" s="19"/>
      <c r="H43" s="19"/>
      <c r="I43" s="19"/>
      <c r="J43" s="19" t="s">
        <v>62</v>
      </c>
      <c r="K43" s="19"/>
      <c r="L43" s="19"/>
      <c r="M43" s="19"/>
      <c r="N43" s="19" t="s">
        <v>63</v>
      </c>
      <c r="O43" s="19"/>
      <c r="P43" s="19"/>
      <c r="Q43" s="19"/>
      <c r="R43" s="36"/>
      <c r="S43" s="31" t="str">
        <f t="shared" si="2"/>
        <v/>
      </c>
      <c r="T43" s="32"/>
      <c r="V43" s="16" t="str">
        <f>IFERROR(__xludf.DUMMYFUNCTION("IF(ISERROR(INDEX(IFERROR(FILTER(SPLIT($V$1, CHAR(10)), NOT(REGEXMATCH(SPLIT($V$1, CHAR(10)), ""\?|\\"")))), ROW()-ROW($T$1:$T$194))), """", INDEX(IFERROR(FILTER(SPLIT($V$1, CHAR(10)), NOT(REGEXMATCH(SPLIT($V$1, CHAR(10)), ""\?|\\"")))), ROW()-ROW($T$1:$T$"&amp;"300)))"),"")</f>
        <v/>
      </c>
      <c r="W43" s="16">
        <f t="shared" si="1"/>
        <v>263</v>
      </c>
    </row>
    <row r="44">
      <c r="C44" s="19"/>
      <c r="D44" s="19"/>
      <c r="E44" s="19"/>
      <c r="F44" s="19"/>
      <c r="G44" s="19"/>
      <c r="H44" s="19"/>
      <c r="I44" s="19"/>
      <c r="J44" s="19"/>
      <c r="K44" s="19"/>
      <c r="L44" s="19"/>
      <c r="M44" s="19"/>
      <c r="N44" s="19"/>
      <c r="O44" s="19"/>
      <c r="P44" s="19"/>
      <c r="Q44" s="19"/>
      <c r="R44" s="36"/>
      <c r="S44" s="31" t="str">
        <f t="shared" si="2"/>
        <v/>
      </c>
      <c r="T44" s="32"/>
      <c r="V44" s="16" t="str">
        <f>IFERROR(__xludf.DUMMYFUNCTION("IF(ISERROR(INDEX(IFERROR(FILTER(SPLIT($V$1, CHAR(10)), NOT(REGEXMATCH(SPLIT($V$1, CHAR(10)), ""\?|\\"")))), ROW()-ROW($T$1:$T$194))), """", INDEX(IFERROR(FILTER(SPLIT($V$1, CHAR(10)), NOT(REGEXMATCH(SPLIT($V$1, CHAR(10)), ""\?|\\"")))), ROW()-ROW($T$1:$T$"&amp;"300)))"),"")</f>
        <v/>
      </c>
      <c r="W44" s="16">
        <f t="shared" si="1"/>
        <v>263</v>
      </c>
    </row>
    <row r="45">
      <c r="B45" s="2" t="s">
        <v>64</v>
      </c>
      <c r="C45" s="3"/>
      <c r="D45" s="4"/>
      <c r="F45" s="2" t="s">
        <v>65</v>
      </c>
      <c r="G45" s="3"/>
      <c r="H45" s="4"/>
      <c r="J45" s="2" t="s">
        <v>66</v>
      </c>
      <c r="K45" s="3"/>
      <c r="L45" s="4"/>
      <c r="N45" s="2" t="s">
        <v>67</v>
      </c>
      <c r="O45" s="3"/>
      <c r="P45" s="4"/>
      <c r="Q45" s="19"/>
      <c r="R45" s="36"/>
      <c r="S45" s="31" t="str">
        <f t="shared" si="2"/>
        <v/>
      </c>
      <c r="T45" s="32"/>
      <c r="V45" s="16" t="str">
        <f>IFERROR(__xludf.DUMMYFUNCTION("IF(ISERROR(INDEX(IFERROR(FILTER(SPLIT($V$1, CHAR(10)), NOT(REGEXMATCH(SPLIT($V$1, CHAR(10)), ""\?|\\"")))), ROW()-ROW($T$1:$T$194))), """", INDEX(IFERROR(FILTER(SPLIT($V$1, CHAR(10)), NOT(REGEXMATCH(SPLIT($V$1, CHAR(10)), ""\?|\\"")))), ROW()-ROW($T$1:$T$"&amp;"300)))"),"")</f>
        <v/>
      </c>
      <c r="W45" s="16">
        <f t="shared" si="1"/>
        <v>263</v>
      </c>
    </row>
    <row r="46">
      <c r="B46" s="12" t="s">
        <v>5</v>
      </c>
      <c r="C46" s="12"/>
      <c r="D46" s="12" t="s">
        <v>6</v>
      </c>
      <c r="E46" s="19" t="s">
        <v>68</v>
      </c>
      <c r="F46" s="12" t="s">
        <v>5</v>
      </c>
      <c r="G46" s="12"/>
      <c r="H46" s="12" t="s">
        <v>6</v>
      </c>
      <c r="J46" s="12" t="s">
        <v>5</v>
      </c>
      <c r="K46" s="12"/>
      <c r="L46" s="12" t="s">
        <v>6</v>
      </c>
      <c r="N46" s="12" t="s">
        <v>5</v>
      </c>
      <c r="O46" s="12"/>
      <c r="P46" s="12" t="s">
        <v>6</v>
      </c>
      <c r="Q46" s="19"/>
      <c r="R46" s="36"/>
      <c r="S46" s="31" t="str">
        <f t="shared" si="2"/>
        <v/>
      </c>
      <c r="T46" s="32"/>
      <c r="V46" s="16" t="str">
        <f>IFERROR(__xludf.DUMMYFUNCTION("IF(ISERROR(INDEX(IFERROR(FILTER(SPLIT($V$1, CHAR(10)), NOT(REGEXMATCH(SPLIT($V$1, CHAR(10)), ""\?|\\"")))), ROW()-ROW($T$1:$T$194))), """", INDEX(IFERROR(FILTER(SPLIT($V$1, CHAR(10)), NOT(REGEXMATCH(SPLIT($V$1, CHAR(10)), ""\?|\\"")))), ROW()-ROW($T$1:$T$"&amp;"300)))"),"")</f>
        <v/>
      </c>
      <c r="W46" s="16">
        <f t="shared" si="1"/>
        <v>263</v>
      </c>
    </row>
    <row r="47">
      <c r="B47" s="19" t="s">
        <v>46</v>
      </c>
      <c r="C47" s="19"/>
      <c r="E47" s="19"/>
      <c r="F47" s="19" t="s">
        <v>69</v>
      </c>
      <c r="G47" s="19"/>
      <c r="H47" s="19"/>
      <c r="I47" s="19"/>
      <c r="J47" s="19" t="s">
        <v>70</v>
      </c>
      <c r="K47" s="19"/>
      <c r="L47" s="19"/>
      <c r="M47" s="19"/>
      <c r="N47" s="19" t="s">
        <v>71</v>
      </c>
      <c r="Q47" s="19"/>
      <c r="R47" s="36"/>
      <c r="S47" s="31" t="str">
        <f t="shared" si="2"/>
        <v/>
      </c>
      <c r="T47" s="32"/>
      <c r="V47" s="16" t="str">
        <f>IFERROR(__xludf.DUMMYFUNCTION("IF(ISERROR(INDEX(IFERROR(FILTER(SPLIT($V$1, CHAR(10)), NOT(REGEXMATCH(SPLIT($V$1, CHAR(10)), ""\?|\\"")))), ROW()-ROW($T$1:$T$194))), """", INDEX(IFERROR(FILTER(SPLIT($V$1, CHAR(10)), NOT(REGEXMATCH(SPLIT($V$1, CHAR(10)), ""\?|\\"")))), ROW()-ROW($T$1:$T$"&amp;"300)))"),"")</f>
        <v/>
      </c>
      <c r="W47" s="16">
        <f t="shared" si="1"/>
        <v>263</v>
      </c>
    </row>
    <row r="48">
      <c r="B48" s="19" t="s">
        <v>22</v>
      </c>
      <c r="C48" s="19"/>
      <c r="E48" s="19"/>
      <c r="F48" s="19" t="s">
        <v>72</v>
      </c>
      <c r="G48" s="19"/>
      <c r="H48" s="19"/>
      <c r="I48" s="19"/>
      <c r="J48" s="19" t="s">
        <v>73</v>
      </c>
      <c r="K48" s="19"/>
      <c r="L48" s="19"/>
      <c r="M48" s="19"/>
      <c r="N48" s="19" t="s">
        <v>25</v>
      </c>
      <c r="P48" s="19" t="s">
        <v>74</v>
      </c>
      <c r="Q48" s="19"/>
      <c r="R48" s="36"/>
      <c r="S48" s="31" t="str">
        <f t="shared" si="2"/>
        <v/>
      </c>
      <c r="T48" s="32"/>
      <c r="V48" s="16" t="str">
        <f>IFERROR(__xludf.DUMMYFUNCTION("IF(ISERROR(INDEX(IFERROR(FILTER(SPLIT($V$1, CHAR(10)), NOT(REGEXMATCH(SPLIT($V$1, CHAR(10)), ""\?|\\"")))), ROW()-ROW($T$1:$T$194))), """", INDEX(IFERROR(FILTER(SPLIT($V$1, CHAR(10)), NOT(REGEXMATCH(SPLIT($V$1, CHAR(10)), ""\?|\\"")))), ROW()-ROW($T$1:$T$"&amp;"300)))"),"")</f>
        <v/>
      </c>
      <c r="W48" s="16">
        <f t="shared" si="1"/>
        <v>263</v>
      </c>
    </row>
    <row r="49">
      <c r="B49" s="19" t="s">
        <v>75</v>
      </c>
      <c r="C49" s="19"/>
      <c r="E49" s="19"/>
      <c r="F49" s="19" t="s">
        <v>76</v>
      </c>
      <c r="G49" s="19"/>
      <c r="H49" s="19"/>
      <c r="I49" s="19"/>
      <c r="J49" s="19"/>
      <c r="K49" s="19"/>
      <c r="L49" s="19"/>
      <c r="M49" s="19"/>
      <c r="N49" s="19" t="s">
        <v>77</v>
      </c>
      <c r="Q49" s="19"/>
      <c r="R49" s="36"/>
      <c r="S49" s="31" t="str">
        <f t="shared" si="2"/>
        <v/>
      </c>
      <c r="T49" s="32"/>
      <c r="V49" s="16" t="str">
        <f>IFERROR(__xludf.DUMMYFUNCTION("IF(ISERROR(INDEX(IFERROR(FILTER(SPLIT($V$1, CHAR(10)), NOT(REGEXMATCH(SPLIT($V$1, CHAR(10)), ""\?|\\"")))), ROW()-ROW($T$1:$T$194))), """", INDEX(IFERROR(FILTER(SPLIT($V$1, CHAR(10)), NOT(REGEXMATCH(SPLIT($V$1, CHAR(10)), ""\?|\\"")))), ROW()-ROW($T$1:$T$"&amp;"300)))"),"")</f>
        <v/>
      </c>
      <c r="W49" s="16">
        <f t="shared" si="1"/>
        <v>263</v>
      </c>
    </row>
    <row r="50">
      <c r="B50" s="19" t="s">
        <v>23</v>
      </c>
      <c r="D50" s="19" t="s">
        <v>78</v>
      </c>
      <c r="E50" s="19"/>
      <c r="F50" s="19" t="s">
        <v>70</v>
      </c>
      <c r="G50" s="19"/>
      <c r="H50" s="19"/>
      <c r="I50" s="19"/>
      <c r="J50" s="19"/>
      <c r="K50" s="19"/>
      <c r="L50" s="19"/>
      <c r="M50" s="19"/>
      <c r="Q50" s="19"/>
      <c r="R50" s="36"/>
      <c r="S50" s="31" t="str">
        <f t="shared" si="2"/>
        <v/>
      </c>
      <c r="T50" s="32"/>
      <c r="V50" s="16" t="str">
        <f>IFERROR(__xludf.DUMMYFUNCTION("IF(ISERROR(INDEX(IFERROR(FILTER(SPLIT($V$1, CHAR(10)), NOT(REGEXMATCH(SPLIT($V$1, CHAR(10)), ""\?|\\"")))), ROW()-ROW($T$1:$T$194))), """", INDEX(IFERROR(FILTER(SPLIT($V$1, CHAR(10)), NOT(REGEXMATCH(SPLIT($V$1, CHAR(10)), ""\?|\\"")))), ROW()-ROW($T$1:$T$"&amp;"300)))"),"")</f>
        <v/>
      </c>
      <c r="W50" s="16">
        <f t="shared" si="1"/>
        <v>263</v>
      </c>
    </row>
    <row r="51">
      <c r="E51" s="19"/>
      <c r="F51" s="19" t="s">
        <v>79</v>
      </c>
      <c r="I51" s="19"/>
      <c r="J51" s="19"/>
      <c r="K51" s="19"/>
      <c r="L51" s="19"/>
      <c r="M51" s="19"/>
      <c r="N51" s="19" t="s">
        <v>27</v>
      </c>
      <c r="P51" s="19" t="s">
        <v>80</v>
      </c>
      <c r="Q51" s="19"/>
      <c r="R51" s="36"/>
      <c r="S51" s="31" t="str">
        <f t="shared" si="2"/>
        <v/>
      </c>
      <c r="T51" s="32"/>
      <c r="V51" s="16" t="str">
        <f>IFERROR(__xludf.DUMMYFUNCTION("IF(ISERROR(INDEX(IFERROR(FILTER(SPLIT($V$1, CHAR(10)), NOT(REGEXMATCH(SPLIT($V$1, CHAR(10)), ""\?|\\"")))), ROW()-ROW($T$1:$T$194))), """", INDEX(IFERROR(FILTER(SPLIT($V$1, CHAR(10)), NOT(REGEXMATCH(SPLIT($V$1, CHAR(10)), ""\?|\\"")))), ROW()-ROW($T$1:$T$"&amp;"300)))"),"")</f>
        <v/>
      </c>
      <c r="W51" s="16">
        <f t="shared" si="1"/>
        <v>263</v>
      </c>
    </row>
    <row r="52">
      <c r="E52" s="19"/>
      <c r="F52" s="19" t="s">
        <v>81</v>
      </c>
      <c r="I52" s="19"/>
      <c r="J52" s="19"/>
      <c r="K52" s="19"/>
      <c r="L52" s="19"/>
      <c r="M52" s="19"/>
      <c r="Q52" s="19"/>
      <c r="R52" s="36"/>
      <c r="S52" s="31" t="str">
        <f t="shared" si="2"/>
        <v/>
      </c>
      <c r="T52" s="32"/>
      <c r="V52" s="16" t="str">
        <f>IFERROR(__xludf.DUMMYFUNCTION("IF(ISERROR(INDEX(IFERROR(FILTER(SPLIT($V$1, CHAR(10)), NOT(REGEXMATCH(SPLIT($V$1, CHAR(10)), ""\?|\\"")))), ROW()-ROW($T$1:$T$194))), """", INDEX(IFERROR(FILTER(SPLIT($V$1, CHAR(10)), NOT(REGEXMATCH(SPLIT($V$1, CHAR(10)), ""\?|\\"")))), ROW()-ROW($T$1:$T$"&amp;"300)))"),"")</f>
        <v/>
      </c>
      <c r="W52" s="16">
        <f t="shared" si="1"/>
        <v>263</v>
      </c>
    </row>
    <row r="53">
      <c r="E53" s="19"/>
      <c r="F53" s="19"/>
      <c r="G53" s="19"/>
      <c r="H53" s="19"/>
      <c r="I53" s="19"/>
      <c r="J53" s="19"/>
      <c r="K53" s="19"/>
      <c r="L53" s="19"/>
      <c r="M53" s="19"/>
      <c r="Q53" s="19"/>
      <c r="R53" s="36"/>
      <c r="S53" s="31" t="str">
        <f t="shared" si="2"/>
        <v/>
      </c>
      <c r="T53" s="32"/>
      <c r="V53" s="16" t="str">
        <f>IFERROR(__xludf.DUMMYFUNCTION("IF(ISERROR(INDEX(IFERROR(FILTER(SPLIT($V$1, CHAR(10)), NOT(REGEXMATCH(SPLIT($V$1, CHAR(10)), ""\?|\\"")))), ROW()-ROW($T$1:$T$194))), """", INDEX(IFERROR(FILTER(SPLIT($V$1, CHAR(10)), NOT(REGEXMATCH(SPLIT($V$1, CHAR(10)), ""\?|\\"")))), ROW()-ROW($T$1:$T$"&amp;"300)))"),"")</f>
        <v/>
      </c>
      <c r="W53" s="16">
        <f t="shared" si="1"/>
        <v>263</v>
      </c>
    </row>
    <row r="54">
      <c r="E54" s="19"/>
      <c r="F54" s="19"/>
      <c r="G54" s="19"/>
      <c r="H54" s="19"/>
      <c r="I54" s="19"/>
      <c r="J54" s="19"/>
      <c r="K54" s="19"/>
      <c r="L54" s="19"/>
      <c r="M54" s="19"/>
      <c r="Q54" s="19"/>
      <c r="R54" s="36"/>
      <c r="S54" s="31" t="str">
        <f t="shared" si="2"/>
        <v/>
      </c>
      <c r="T54" s="32"/>
      <c r="V54" s="16" t="str">
        <f>IFERROR(__xludf.DUMMYFUNCTION("IF(ISERROR(INDEX(IFERROR(FILTER(SPLIT($V$1, CHAR(10)), NOT(REGEXMATCH(SPLIT($V$1, CHAR(10)), ""\?|\\"")))), ROW()-ROW($T$1:$T$194))), """", INDEX(IFERROR(FILTER(SPLIT($V$1, CHAR(10)), NOT(REGEXMATCH(SPLIT($V$1, CHAR(10)), ""\?|\\"")))), ROW()-ROW($T$1:$T$"&amp;"300)))"),"")</f>
        <v/>
      </c>
      <c r="W54" s="16">
        <f t="shared" si="1"/>
        <v>263</v>
      </c>
    </row>
    <row r="55">
      <c r="A55" s="19" t="s">
        <v>82</v>
      </c>
      <c r="C55" s="19"/>
      <c r="D55" s="19"/>
      <c r="E55" s="19"/>
      <c r="F55" s="19"/>
      <c r="G55" s="19"/>
      <c r="H55" s="19"/>
      <c r="I55" s="19"/>
      <c r="J55" s="19"/>
      <c r="K55" s="19"/>
      <c r="L55" s="19"/>
      <c r="M55" s="19"/>
      <c r="Q55" s="34"/>
      <c r="R55" s="35"/>
      <c r="S55" s="31" t="str">
        <f t="shared" si="2"/>
        <v/>
      </c>
      <c r="T55" s="32"/>
      <c r="V55" s="16" t="str">
        <f>IFERROR(__xludf.DUMMYFUNCTION("IF(ISERROR(INDEX(IFERROR(FILTER(SPLIT($V$1, CHAR(10)), NOT(REGEXMATCH(SPLIT($V$1, CHAR(10)), ""\?|\\"")))), ROW()-ROW($T$1:$T$194))), """", INDEX(IFERROR(FILTER(SPLIT($V$1, CHAR(10)), NOT(REGEXMATCH(SPLIT($V$1, CHAR(10)), ""\?|\\"")))), ROW()-ROW($T$1:$T$"&amp;"300)))"),"")</f>
        <v/>
      </c>
      <c r="W55" s="16">
        <f t="shared" si="1"/>
        <v>263</v>
      </c>
    </row>
    <row r="56">
      <c r="B56" s="38"/>
      <c r="C56" s="19"/>
      <c r="D56" s="19"/>
      <c r="E56" s="19"/>
      <c r="F56" s="19"/>
      <c r="G56" s="19"/>
      <c r="H56" s="19"/>
      <c r="I56" s="19"/>
      <c r="J56" s="19"/>
      <c r="K56" s="19"/>
      <c r="L56" s="19"/>
      <c r="M56" s="19"/>
      <c r="Q56" s="34"/>
      <c r="R56" s="35"/>
      <c r="S56" s="31" t="str">
        <f t="shared" si="2"/>
        <v/>
      </c>
      <c r="T56" s="32"/>
      <c r="V56" s="16" t="str">
        <f>IFERROR(__xludf.DUMMYFUNCTION("IF(ISERROR(INDEX(IFERROR(FILTER(SPLIT($V$1, CHAR(10)), NOT(REGEXMATCH(SPLIT($V$1, CHAR(10)), ""\?|\\"")))), ROW()-ROW($T$1:$T$194))), """", INDEX(IFERROR(FILTER(SPLIT($V$1, CHAR(10)), NOT(REGEXMATCH(SPLIT($V$1, CHAR(10)), ""\?|\\"")))), ROW()-ROW($T$1:$T$"&amp;"300)))"),"")</f>
        <v/>
      </c>
      <c r="W56" s="16">
        <f t="shared" si="1"/>
        <v>263</v>
      </c>
    </row>
    <row r="57">
      <c r="E57" s="19"/>
      <c r="F57" s="19"/>
      <c r="G57" s="19"/>
      <c r="H57" s="19"/>
      <c r="I57" s="19"/>
      <c r="J57" s="19"/>
      <c r="K57" s="19"/>
      <c r="L57" s="19"/>
      <c r="M57" s="19"/>
      <c r="Q57" s="19"/>
      <c r="R57" s="36"/>
      <c r="S57" s="31" t="str">
        <f t="shared" si="2"/>
        <v/>
      </c>
      <c r="T57" s="32"/>
      <c r="V57" s="16" t="str">
        <f>IFERROR(__xludf.DUMMYFUNCTION("IF(ISERROR(INDEX(IFERROR(FILTER(SPLIT($V$1, CHAR(10)), NOT(REGEXMATCH(SPLIT($V$1, CHAR(10)), ""\?|\\"")))), ROW()-ROW($T$1:$T$194))), """", INDEX(IFERROR(FILTER(SPLIT($V$1, CHAR(10)), NOT(REGEXMATCH(SPLIT($V$1, CHAR(10)), ""\?|\\"")))), ROW()-ROW($T$1:$T$"&amp;"300)))"),"")</f>
        <v/>
      </c>
      <c r="W57" s="16">
        <f t="shared" si="1"/>
        <v>263</v>
      </c>
    </row>
    <row r="58">
      <c r="C58" s="19"/>
      <c r="E58" s="19"/>
      <c r="F58" s="19"/>
      <c r="G58" s="19"/>
      <c r="H58" s="19"/>
      <c r="I58" s="19"/>
      <c r="J58" s="19"/>
      <c r="K58" s="19"/>
      <c r="L58" s="19"/>
      <c r="M58" s="19"/>
      <c r="N58" s="19"/>
      <c r="O58" s="19"/>
      <c r="P58" s="19"/>
      <c r="Q58" s="19"/>
      <c r="R58" s="36"/>
      <c r="S58" s="31" t="str">
        <f t="shared" si="2"/>
        <v/>
      </c>
      <c r="T58" s="32"/>
      <c r="V58" s="16" t="str">
        <f>IFERROR(__xludf.DUMMYFUNCTION("IF(ISERROR(INDEX(IFERROR(FILTER(SPLIT($V$1, CHAR(10)), NOT(REGEXMATCH(SPLIT($V$1, CHAR(10)), ""\?|\\"")))), ROW()-ROW($T$1:$T$194))), """", INDEX(IFERROR(FILTER(SPLIT($V$1, CHAR(10)), NOT(REGEXMATCH(SPLIT($V$1, CHAR(10)), ""\?|\\"")))), ROW()-ROW($T$1:$T$"&amp;"300)))"),"")</f>
        <v/>
      </c>
      <c r="W58" s="16">
        <f t="shared" si="1"/>
        <v>263</v>
      </c>
    </row>
    <row r="59">
      <c r="E59" s="19"/>
      <c r="F59" s="19"/>
      <c r="G59" s="19"/>
      <c r="H59" s="19"/>
      <c r="I59" s="19"/>
      <c r="J59" s="19"/>
      <c r="K59" s="19"/>
      <c r="L59" s="19"/>
      <c r="M59" s="19"/>
      <c r="N59" s="19"/>
      <c r="O59" s="19"/>
      <c r="P59" s="19"/>
      <c r="Q59" s="19"/>
      <c r="R59" s="36"/>
      <c r="S59" s="31" t="str">
        <f t="shared" si="2"/>
        <v/>
      </c>
      <c r="T59" s="32"/>
      <c r="V59" s="16" t="str">
        <f>IFERROR(__xludf.DUMMYFUNCTION("IF(ISERROR(INDEX(IFERROR(FILTER(SPLIT($V$1, CHAR(10)), NOT(REGEXMATCH(SPLIT($V$1, CHAR(10)), ""\?|\\"")))), ROW()-ROW($T$1:$T$194))), """", INDEX(IFERROR(FILTER(SPLIT($V$1, CHAR(10)), NOT(REGEXMATCH(SPLIT($V$1, CHAR(10)), ""\?|\\"")))), ROW()-ROW($T$1:$T$"&amp;"300)))"),"")</f>
        <v/>
      </c>
      <c r="W59" s="16">
        <f t="shared" si="1"/>
        <v>263</v>
      </c>
    </row>
    <row r="60">
      <c r="C60" s="19"/>
      <c r="E60" s="19"/>
      <c r="F60" s="19"/>
      <c r="G60" s="19"/>
      <c r="H60" s="19"/>
      <c r="I60" s="19"/>
      <c r="J60" s="19"/>
      <c r="K60" s="19"/>
      <c r="L60" s="19"/>
      <c r="M60" s="19"/>
      <c r="N60" s="19"/>
      <c r="O60" s="19"/>
      <c r="P60" s="19"/>
      <c r="Q60" s="19"/>
      <c r="R60" s="36"/>
      <c r="S60" s="31" t="str">
        <f t="shared" si="2"/>
        <v/>
      </c>
      <c r="T60" s="32"/>
      <c r="V60" s="16" t="str">
        <f>IFERROR(__xludf.DUMMYFUNCTION("IF(ISERROR(INDEX(IFERROR(FILTER(SPLIT($V$1, CHAR(10)), NOT(REGEXMATCH(SPLIT($V$1, CHAR(10)), ""\?|\\"")))), ROW()-ROW($T$1:$T$194))), """", INDEX(IFERROR(FILTER(SPLIT($V$1, CHAR(10)), NOT(REGEXMATCH(SPLIT($V$1, CHAR(10)), ""\?|\\"")))), ROW()-ROW($T$1:$T$"&amp;"300)))"),"")</f>
        <v/>
      </c>
      <c r="W60" s="16">
        <f t="shared" si="1"/>
        <v>263</v>
      </c>
    </row>
    <row r="61">
      <c r="C61" s="19"/>
      <c r="E61" s="19"/>
      <c r="F61" s="19"/>
      <c r="G61" s="19"/>
      <c r="H61" s="19"/>
      <c r="I61" s="19"/>
      <c r="J61" s="19"/>
      <c r="K61" s="19"/>
      <c r="L61" s="19"/>
      <c r="M61" s="19"/>
      <c r="O61" s="19"/>
      <c r="P61" s="19"/>
      <c r="Q61" s="19"/>
      <c r="R61" s="36"/>
      <c r="S61" s="31" t="str">
        <f t="shared" si="2"/>
        <v/>
      </c>
      <c r="T61" s="32"/>
      <c r="V61" s="16" t="str">
        <f>IFERROR(__xludf.DUMMYFUNCTION("IF(ISERROR(INDEX(IFERROR(FILTER(SPLIT($V$1, CHAR(10)), NOT(REGEXMATCH(SPLIT($V$1, CHAR(10)), ""\?|\\"")))), ROW()-ROW($T$1:$T$194))), """", INDEX(IFERROR(FILTER(SPLIT($V$1, CHAR(10)), NOT(REGEXMATCH(SPLIT($V$1, CHAR(10)), ""\?|\\"")))), ROW()-ROW($T$1:$T$"&amp;"300)))"),"")</f>
        <v/>
      </c>
      <c r="W61" s="16">
        <f t="shared" si="1"/>
        <v>263</v>
      </c>
    </row>
    <row r="62">
      <c r="C62" s="19"/>
      <c r="E62" s="19"/>
      <c r="F62" s="19"/>
      <c r="G62" s="19"/>
      <c r="H62" s="19"/>
      <c r="I62" s="19"/>
      <c r="J62" s="19"/>
      <c r="K62" s="19"/>
      <c r="L62" s="19"/>
      <c r="M62" s="19"/>
      <c r="N62" s="19"/>
      <c r="O62" s="19"/>
      <c r="P62" s="19"/>
      <c r="Q62" s="19"/>
      <c r="R62" s="36"/>
      <c r="S62" s="31" t="str">
        <f t="shared" si="2"/>
        <v/>
      </c>
      <c r="T62" s="32"/>
      <c r="V62" s="16" t="str">
        <f>IFERROR(__xludf.DUMMYFUNCTION("IF(ISERROR(INDEX(IFERROR(FILTER(SPLIT($V$1, CHAR(10)), NOT(REGEXMATCH(SPLIT($V$1, CHAR(10)), ""\?|\\"")))), ROW()-ROW($T$1:$T$194))), """", INDEX(IFERROR(FILTER(SPLIT($V$1, CHAR(10)), NOT(REGEXMATCH(SPLIT($V$1, CHAR(10)), ""\?|\\"")))), ROW()-ROW($T$1:$T$"&amp;"300)))"),"")</f>
        <v/>
      </c>
      <c r="W62" s="16">
        <f t="shared" si="1"/>
        <v>263</v>
      </c>
    </row>
    <row r="63">
      <c r="C63" s="19"/>
      <c r="E63" s="19"/>
      <c r="F63" s="19"/>
      <c r="G63" s="19"/>
      <c r="H63" s="19"/>
      <c r="I63" s="19"/>
      <c r="J63" s="19"/>
      <c r="K63" s="19"/>
      <c r="L63" s="19"/>
      <c r="M63" s="19"/>
      <c r="N63" s="19"/>
      <c r="O63" s="19"/>
      <c r="P63" s="19"/>
      <c r="Q63" s="19"/>
      <c r="R63" s="36"/>
      <c r="S63" s="31" t="str">
        <f t="shared" si="2"/>
        <v/>
      </c>
      <c r="T63" s="32"/>
      <c r="V63" s="16" t="str">
        <f>IFERROR(__xludf.DUMMYFUNCTION("IF(ISERROR(INDEX(IFERROR(FILTER(SPLIT($V$1, CHAR(10)), NOT(REGEXMATCH(SPLIT($V$1, CHAR(10)), ""\?|\\"")))), ROW()-ROW($T$1:$T$194))), """", INDEX(IFERROR(FILTER(SPLIT($V$1, CHAR(10)), NOT(REGEXMATCH(SPLIT($V$1, CHAR(10)), ""\?|\\"")))), ROW()-ROW($T$1:$T$"&amp;"300)))"),"")</f>
        <v/>
      </c>
      <c r="W63" s="16">
        <f t="shared" si="1"/>
        <v>263</v>
      </c>
    </row>
    <row r="64">
      <c r="C64" s="19"/>
      <c r="E64" s="19"/>
      <c r="F64" s="19"/>
      <c r="G64" s="19"/>
      <c r="H64" s="19"/>
      <c r="I64" s="19"/>
      <c r="J64" s="19"/>
      <c r="K64" s="19"/>
      <c r="L64" s="19"/>
      <c r="M64" s="19"/>
      <c r="N64" s="19"/>
      <c r="O64" s="19"/>
      <c r="P64" s="19"/>
      <c r="Q64" s="19"/>
      <c r="R64" s="36"/>
      <c r="S64" s="31" t="str">
        <f t="shared" si="2"/>
        <v/>
      </c>
      <c r="T64" s="32"/>
      <c r="V64" s="16" t="str">
        <f>IFERROR(__xludf.DUMMYFUNCTION("IF(ISERROR(INDEX(IFERROR(FILTER(SPLIT($V$1, CHAR(10)), NOT(REGEXMATCH(SPLIT($V$1, CHAR(10)), ""\?|\\"")))), ROW()-ROW($T$1:$T$194))), """", INDEX(IFERROR(FILTER(SPLIT($V$1, CHAR(10)), NOT(REGEXMATCH(SPLIT($V$1, CHAR(10)), ""\?|\\"")))), ROW()-ROW($T$1:$T$"&amp;"300)))"),"")</f>
        <v/>
      </c>
      <c r="W64" s="16">
        <f t="shared" si="1"/>
        <v>263</v>
      </c>
    </row>
    <row r="65">
      <c r="B65" s="19" t="s">
        <v>83</v>
      </c>
      <c r="C65" s="19"/>
      <c r="D65" s="19"/>
      <c r="E65" s="19"/>
      <c r="F65" s="19"/>
      <c r="G65" s="19"/>
      <c r="H65" s="19"/>
      <c r="I65" s="19"/>
      <c r="J65" s="19"/>
      <c r="K65" s="19"/>
      <c r="L65" s="19"/>
      <c r="M65" s="19"/>
      <c r="N65" s="19"/>
      <c r="O65" s="19"/>
      <c r="P65" s="19"/>
      <c r="Q65" s="19"/>
      <c r="R65" s="36"/>
      <c r="S65" s="31" t="str">
        <f t="shared" si="2"/>
        <v/>
      </c>
      <c r="T65" s="32"/>
      <c r="V65" s="16" t="str">
        <f>IFERROR(__xludf.DUMMYFUNCTION("IF(ISERROR(INDEX(IFERROR(FILTER(SPLIT($V$1, CHAR(10)), NOT(REGEXMATCH(SPLIT($V$1, CHAR(10)), ""\?|\\"")))), ROW()-ROW($T$1:$T$194))), """", INDEX(IFERROR(FILTER(SPLIT($V$1, CHAR(10)), NOT(REGEXMATCH(SPLIT($V$1, CHAR(10)), ""\?|\\"")))), ROW()-ROW($T$1:$T$"&amp;"300)))"),"")</f>
        <v/>
      </c>
      <c r="W65" s="16">
        <f t="shared" si="1"/>
        <v>263</v>
      </c>
    </row>
    <row r="66">
      <c r="C66" s="19"/>
      <c r="D66" s="19"/>
      <c r="E66" s="19"/>
      <c r="F66" s="19"/>
      <c r="G66" s="19"/>
      <c r="H66" s="19"/>
      <c r="I66" s="19"/>
      <c r="J66" s="19"/>
      <c r="K66" s="19"/>
      <c r="L66" s="19"/>
      <c r="M66" s="19"/>
      <c r="N66" s="19"/>
      <c r="O66" s="19"/>
      <c r="P66" s="19"/>
      <c r="Q66" s="19"/>
      <c r="R66" s="36"/>
      <c r="S66" s="31" t="str">
        <f t="shared" si="2"/>
        <v/>
      </c>
      <c r="T66" s="32"/>
      <c r="V66" s="16" t="str">
        <f>IFERROR(__xludf.DUMMYFUNCTION("IF(ISERROR(INDEX(IFERROR(FILTER(SPLIT($V$1, CHAR(10)), NOT(REGEXMATCH(SPLIT($V$1, CHAR(10)), ""\?|\\"")))), ROW()-ROW($T$1:$T$194))), """", INDEX(IFERROR(FILTER(SPLIT($V$1, CHAR(10)), NOT(REGEXMATCH(SPLIT($V$1, CHAR(10)), ""\?|\\"")))), ROW()-ROW($T$1:$T$"&amp;"300)))"),"")</f>
        <v/>
      </c>
      <c r="W66" s="16">
        <f t="shared" si="1"/>
        <v>263</v>
      </c>
    </row>
    <row r="67">
      <c r="B67" s="39"/>
      <c r="C67" s="19"/>
      <c r="D67" s="19"/>
      <c r="E67" s="19"/>
      <c r="F67" s="19"/>
      <c r="G67" s="19"/>
      <c r="H67" s="19"/>
      <c r="I67" s="19"/>
      <c r="J67" s="19"/>
      <c r="K67" s="19"/>
      <c r="L67" s="19"/>
      <c r="M67" s="19"/>
      <c r="N67" s="19"/>
      <c r="O67" s="19"/>
      <c r="P67" s="19"/>
      <c r="Q67" s="19"/>
      <c r="R67" s="36"/>
      <c r="S67" s="31" t="str">
        <f t="shared" si="2"/>
        <v/>
      </c>
      <c r="T67" s="32"/>
      <c r="V67" s="16" t="str">
        <f>IFERROR(__xludf.DUMMYFUNCTION("IF(ISERROR(INDEX(IFERROR(FILTER(SPLIT($V$1, CHAR(10)), NOT(REGEXMATCH(SPLIT($V$1, CHAR(10)), ""\?|\\"")))), ROW()-ROW($T$1:$T$194))), """", INDEX(IFERROR(FILTER(SPLIT($V$1, CHAR(10)), NOT(REGEXMATCH(SPLIT($V$1, CHAR(10)), ""\?|\\"")))), ROW()-ROW($T$1:$T$"&amp;"300)))"),"")</f>
        <v/>
      </c>
      <c r="W67" s="16">
        <f t="shared" si="1"/>
        <v>263</v>
      </c>
    </row>
    <row r="68">
      <c r="B68" s="2" t="s">
        <v>84</v>
      </c>
      <c r="C68" s="3"/>
      <c r="D68" s="4"/>
      <c r="F68" s="2" t="s">
        <v>85</v>
      </c>
      <c r="G68" s="3"/>
      <c r="H68" s="4"/>
      <c r="J68" s="2" t="s">
        <v>86</v>
      </c>
      <c r="K68" s="3"/>
      <c r="L68" s="4"/>
      <c r="N68" s="2" t="s">
        <v>87</v>
      </c>
      <c r="O68" s="3"/>
      <c r="P68" s="4"/>
      <c r="Q68" s="19"/>
      <c r="R68" s="36"/>
      <c r="S68" s="31" t="str">
        <f t="shared" si="2"/>
        <v/>
      </c>
      <c r="T68" s="32"/>
      <c r="V68" s="16" t="str">
        <f>IFERROR(__xludf.DUMMYFUNCTION("IF(ISERROR(INDEX(IFERROR(FILTER(SPLIT($V$1, CHAR(10)), NOT(REGEXMATCH(SPLIT($V$1, CHAR(10)), ""\?|\\"")))), ROW()-ROW($T$1:$T$194))), """", INDEX(IFERROR(FILTER(SPLIT($V$1, CHAR(10)), NOT(REGEXMATCH(SPLIT($V$1, CHAR(10)), ""\?|\\"")))), ROW()-ROW($T$1:$T$"&amp;"300)))"),"")</f>
        <v/>
      </c>
      <c r="W68" s="16">
        <f t="shared" si="1"/>
        <v>263</v>
      </c>
    </row>
    <row r="69">
      <c r="B69" s="12" t="s">
        <v>5</v>
      </c>
      <c r="C69" s="12"/>
      <c r="D69" s="12" t="s">
        <v>6</v>
      </c>
      <c r="F69" s="12" t="s">
        <v>5</v>
      </c>
      <c r="G69" s="12"/>
      <c r="H69" s="12" t="s">
        <v>6</v>
      </c>
      <c r="J69" s="12" t="s">
        <v>5</v>
      </c>
      <c r="K69" s="12"/>
      <c r="L69" s="12" t="s">
        <v>6</v>
      </c>
      <c r="N69" s="12" t="s">
        <v>5</v>
      </c>
      <c r="O69" s="12"/>
      <c r="P69" s="12" t="s">
        <v>6</v>
      </c>
      <c r="Q69" s="19"/>
      <c r="R69" s="36"/>
      <c r="S69" s="31" t="str">
        <f t="shared" si="2"/>
        <v/>
      </c>
      <c r="T69" s="32"/>
      <c r="V69" s="16" t="str">
        <f>IFERROR(__xludf.DUMMYFUNCTION("IF(ISERROR(INDEX(IFERROR(FILTER(SPLIT($V$1, CHAR(10)), NOT(REGEXMATCH(SPLIT($V$1, CHAR(10)), ""\?|\\"")))), ROW()-ROW($T$1:$T$194))), """", INDEX(IFERROR(FILTER(SPLIT($V$1, CHAR(10)), NOT(REGEXMATCH(SPLIT($V$1, CHAR(10)), ""\?|\\"")))), ROW()-ROW($T$1:$T$"&amp;"300)))"),"")</f>
        <v/>
      </c>
      <c r="W69" s="16">
        <f t="shared" si="1"/>
        <v>263</v>
      </c>
    </row>
    <row r="70">
      <c r="B70" s="19" t="s">
        <v>88</v>
      </c>
      <c r="C70" s="19"/>
      <c r="D70" s="19"/>
      <c r="E70" s="19"/>
      <c r="F70" s="19" t="s">
        <v>28</v>
      </c>
      <c r="I70" s="19"/>
      <c r="J70" s="19" t="s">
        <v>89</v>
      </c>
      <c r="N70" s="19" t="s">
        <v>90</v>
      </c>
      <c r="O70" s="19"/>
      <c r="P70" s="19"/>
      <c r="Q70" s="19"/>
      <c r="R70" s="36"/>
      <c r="S70" s="31" t="str">
        <f t="shared" si="2"/>
        <v/>
      </c>
      <c r="T70" s="32"/>
      <c r="V70" s="16" t="str">
        <f>IFERROR(__xludf.DUMMYFUNCTION("IF(ISERROR(INDEX(IFERROR(FILTER(SPLIT($V$1, CHAR(10)), NOT(REGEXMATCH(SPLIT($V$1, CHAR(10)), ""\?|\\"")))), ROW()-ROW($T$1:$T$194))), """", INDEX(IFERROR(FILTER(SPLIT($V$1, CHAR(10)), NOT(REGEXMATCH(SPLIT($V$1, CHAR(10)), ""\?|\\"")))), ROW()-ROW($T$1:$T$"&amp;"300)))"),"")</f>
        <v/>
      </c>
      <c r="W70" s="16">
        <f t="shared" si="1"/>
        <v>263</v>
      </c>
    </row>
    <row r="71">
      <c r="B71" s="19" t="s">
        <v>91</v>
      </c>
      <c r="C71" s="19"/>
      <c r="D71" s="19"/>
      <c r="E71" s="19"/>
      <c r="F71" s="19" t="s">
        <v>30</v>
      </c>
      <c r="I71" s="19"/>
      <c r="J71" s="19" t="s">
        <v>92</v>
      </c>
      <c r="N71" s="19" t="s">
        <v>93</v>
      </c>
      <c r="O71" s="19"/>
      <c r="P71" s="19"/>
      <c r="Q71" s="19"/>
      <c r="R71" s="36"/>
      <c r="S71" s="31" t="str">
        <f t="shared" si="2"/>
        <v/>
      </c>
      <c r="T71" s="32"/>
      <c r="V71" s="16" t="str">
        <f>IFERROR(__xludf.DUMMYFUNCTION("IF(ISERROR(INDEX(IFERROR(FILTER(SPLIT($V$1, CHAR(10)), NOT(REGEXMATCH(SPLIT($V$1, CHAR(10)), ""\?|\\"")))), ROW()-ROW($T$1:$T$194))), """", INDEX(IFERROR(FILTER(SPLIT($V$1, CHAR(10)), NOT(REGEXMATCH(SPLIT($V$1, CHAR(10)), ""\?|\\"")))), ROW()-ROW($T$1:$T$"&amp;"300)))"),"")</f>
        <v/>
      </c>
      <c r="W71" s="16">
        <f t="shared" si="1"/>
        <v>263</v>
      </c>
    </row>
    <row r="72">
      <c r="B72" s="19" t="s">
        <v>94</v>
      </c>
      <c r="E72" s="19"/>
      <c r="F72" s="19" t="s">
        <v>31</v>
      </c>
      <c r="I72" s="19"/>
      <c r="J72" s="40" t="s">
        <v>32</v>
      </c>
      <c r="N72" s="19" t="s">
        <v>95</v>
      </c>
      <c r="O72" s="19"/>
      <c r="P72" s="19"/>
      <c r="Q72" s="19"/>
      <c r="R72" s="36"/>
      <c r="S72" s="31" t="str">
        <f t="shared" si="2"/>
        <v/>
      </c>
      <c r="T72" s="32"/>
      <c r="V72" s="16" t="str">
        <f>IFERROR(__xludf.DUMMYFUNCTION("IF(ISERROR(INDEX(IFERROR(FILTER(SPLIT($V$1, CHAR(10)), NOT(REGEXMATCH(SPLIT($V$1, CHAR(10)), ""\?|\\"")))), ROW()-ROW($T$1:$T$194))), """", INDEX(IFERROR(FILTER(SPLIT($V$1, CHAR(10)), NOT(REGEXMATCH(SPLIT($V$1, CHAR(10)), ""\?|\\"")))), ROW()-ROW($T$1:$T$"&amp;"300)))"),"")</f>
        <v/>
      </c>
      <c r="W72" s="16">
        <f t="shared" si="1"/>
        <v>263</v>
      </c>
    </row>
    <row r="73">
      <c r="E73" s="19"/>
      <c r="I73" s="19"/>
      <c r="N73" s="19" t="s">
        <v>96</v>
      </c>
      <c r="O73" s="19"/>
      <c r="Q73" s="19"/>
      <c r="R73" s="36"/>
      <c r="S73" s="31" t="str">
        <f t="shared" si="2"/>
        <v/>
      </c>
      <c r="T73" s="32"/>
      <c r="V73" s="16" t="str">
        <f>IFERROR(__xludf.DUMMYFUNCTION("IF(ISERROR(INDEX(IFERROR(FILTER(SPLIT($V$1, CHAR(10)), NOT(REGEXMATCH(SPLIT($V$1, CHAR(10)), ""\?|\\"")))), ROW()-ROW($T$1:$T$194))), """", INDEX(IFERROR(FILTER(SPLIT($V$1, CHAR(10)), NOT(REGEXMATCH(SPLIT($V$1, CHAR(10)), ""\?|\\"")))), ROW()-ROW($T$1:$T$"&amp;"300)))"),"")</f>
        <v/>
      </c>
      <c r="W73" s="16">
        <f t="shared" si="1"/>
        <v>263</v>
      </c>
    </row>
    <row r="74">
      <c r="E74" s="19"/>
      <c r="I74" s="19"/>
      <c r="N74" s="19" t="s">
        <v>97</v>
      </c>
      <c r="O74" s="19"/>
      <c r="P74" s="19" t="s">
        <v>98</v>
      </c>
      <c r="Q74" s="19"/>
      <c r="R74" s="36"/>
      <c r="S74" s="31" t="str">
        <f t="shared" si="2"/>
        <v/>
      </c>
      <c r="T74" s="32"/>
      <c r="V74" s="16" t="str">
        <f>IFERROR(__xludf.DUMMYFUNCTION("IF(ISERROR(INDEX(IFERROR(FILTER(SPLIT($V$1, CHAR(10)), NOT(REGEXMATCH(SPLIT($V$1, CHAR(10)), ""\?|\\"")))), ROW()-ROW($T$1:$T$194))), """", INDEX(IFERROR(FILTER(SPLIT($V$1, CHAR(10)), NOT(REGEXMATCH(SPLIT($V$1, CHAR(10)), ""\?|\\"")))), ROW()-ROW($T$1:$T$"&amp;"300)))"),"")</f>
        <v/>
      </c>
      <c r="W74" s="16">
        <f t="shared" si="1"/>
        <v>263</v>
      </c>
    </row>
    <row r="75">
      <c r="C75" s="19"/>
      <c r="D75" s="19"/>
      <c r="E75" s="19"/>
      <c r="I75" s="19"/>
      <c r="N75" s="19" t="s">
        <v>99</v>
      </c>
      <c r="O75" s="19"/>
      <c r="P75" s="19"/>
      <c r="Q75" s="19"/>
      <c r="R75" s="36"/>
      <c r="S75" s="31" t="str">
        <f t="shared" si="2"/>
        <v/>
      </c>
      <c r="T75" s="32"/>
      <c r="V75" s="16" t="str">
        <f>IFERROR(__xludf.DUMMYFUNCTION("IF(ISERROR(INDEX(IFERROR(FILTER(SPLIT($V$1, CHAR(10)), NOT(REGEXMATCH(SPLIT($V$1, CHAR(10)), ""\?|\\"")))), ROW()-ROW($T$1:$T$194))), """", INDEX(IFERROR(FILTER(SPLIT($V$1, CHAR(10)), NOT(REGEXMATCH(SPLIT($V$1, CHAR(10)), ""\?|\\"")))), ROW()-ROW($T$1:$T$"&amp;"300)))"),"")</f>
        <v/>
      </c>
      <c r="W75" s="16">
        <f t="shared" si="1"/>
        <v>263</v>
      </c>
    </row>
    <row r="76">
      <c r="C76" s="19"/>
      <c r="D76" s="19"/>
      <c r="E76" s="19"/>
      <c r="I76" s="19"/>
      <c r="N76" s="19" t="s">
        <v>100</v>
      </c>
      <c r="O76" s="19"/>
      <c r="P76" s="19"/>
      <c r="Q76" s="19"/>
      <c r="R76" s="36"/>
      <c r="S76" s="31" t="str">
        <f t="shared" si="2"/>
        <v/>
      </c>
      <c r="T76" s="32"/>
      <c r="V76" s="16" t="str">
        <f>IFERROR(__xludf.DUMMYFUNCTION("IF(ISERROR(INDEX(IFERROR(FILTER(SPLIT($V$1, CHAR(10)), NOT(REGEXMATCH(SPLIT($V$1, CHAR(10)), ""\?|\\"")))), ROW()-ROW($T$1:$T$194))), """", INDEX(IFERROR(FILTER(SPLIT($V$1, CHAR(10)), NOT(REGEXMATCH(SPLIT($V$1, CHAR(10)), ""\?|\\"")))), ROW()-ROW($T$1:$T$"&amp;"300)))"),"")</f>
        <v/>
      </c>
      <c r="W76" s="16">
        <f t="shared" si="1"/>
        <v>263</v>
      </c>
    </row>
    <row r="77">
      <c r="C77" s="19"/>
      <c r="D77" s="19"/>
      <c r="E77" s="19"/>
      <c r="I77" s="19"/>
      <c r="N77" s="19" t="s">
        <v>101</v>
      </c>
      <c r="O77" s="19"/>
      <c r="P77" s="19"/>
      <c r="Q77" s="19"/>
      <c r="R77" s="36"/>
      <c r="S77" s="31" t="str">
        <f t="shared" si="2"/>
        <v/>
      </c>
      <c r="T77" s="32"/>
      <c r="V77" s="16" t="str">
        <f>IFERROR(__xludf.DUMMYFUNCTION("IF(ISERROR(INDEX(IFERROR(FILTER(SPLIT($V$1, CHAR(10)), NOT(REGEXMATCH(SPLIT($V$1, CHAR(10)), ""\?|\\"")))), ROW()-ROW($T$1:$T$194))), """", INDEX(IFERROR(FILTER(SPLIT($V$1, CHAR(10)), NOT(REGEXMATCH(SPLIT($V$1, CHAR(10)), ""\?|\\"")))), ROW()-ROW($T$1:$T$"&amp;"300)))"),"")</f>
        <v/>
      </c>
      <c r="W77" s="16">
        <f t="shared" si="1"/>
        <v>263</v>
      </c>
    </row>
    <row r="78">
      <c r="C78" s="19"/>
      <c r="D78" s="19"/>
      <c r="E78" s="19"/>
      <c r="G78" s="19"/>
      <c r="H78" s="19"/>
      <c r="I78" s="19"/>
      <c r="N78" s="19" t="s">
        <v>102</v>
      </c>
      <c r="O78" s="19"/>
      <c r="P78" s="19"/>
      <c r="Q78" s="34"/>
      <c r="R78" s="36"/>
      <c r="S78" s="31" t="str">
        <f t="shared" si="2"/>
        <v/>
      </c>
      <c r="T78" s="32"/>
      <c r="V78" s="16" t="str">
        <f>IFERROR(__xludf.DUMMYFUNCTION("IF(ISERROR(INDEX(IFERROR(FILTER(SPLIT($V$1, CHAR(10)), NOT(REGEXMATCH(SPLIT($V$1, CHAR(10)), ""\?|\\"")))), ROW()-ROW($T$1:$T$194))), """", INDEX(IFERROR(FILTER(SPLIT($V$1, CHAR(10)), NOT(REGEXMATCH(SPLIT($V$1, CHAR(10)), ""\?|\\"")))), ROW()-ROW($T$1:$T$"&amp;"300)))"),"")</f>
        <v/>
      </c>
      <c r="W78" s="16">
        <f t="shared" si="1"/>
        <v>263</v>
      </c>
    </row>
    <row r="79">
      <c r="C79" s="19"/>
      <c r="D79" s="19"/>
      <c r="E79" s="19"/>
      <c r="G79" s="19"/>
      <c r="H79" s="19"/>
      <c r="I79" s="19"/>
      <c r="O79" s="19"/>
      <c r="P79" s="19"/>
      <c r="Q79" s="34"/>
      <c r="R79" s="36"/>
      <c r="S79" s="31" t="str">
        <f t="shared" si="2"/>
        <v/>
      </c>
      <c r="T79" s="32"/>
      <c r="V79" s="16" t="str">
        <f>IFERROR(__xludf.DUMMYFUNCTION("IF(ISERROR(INDEX(IFERROR(FILTER(SPLIT($V$1, CHAR(10)), NOT(REGEXMATCH(SPLIT($V$1, CHAR(10)), ""\?|\\"")))), ROW()-ROW($T$1:$T$194))), """", INDEX(IFERROR(FILTER(SPLIT($V$1, CHAR(10)), NOT(REGEXMATCH(SPLIT($V$1, CHAR(10)), ""\?|\\"")))), ROW()-ROW($T$1:$T$"&amp;"300)))"),"")</f>
        <v/>
      </c>
      <c r="W79" s="16">
        <f t="shared" si="1"/>
        <v>263</v>
      </c>
    </row>
    <row r="80">
      <c r="C80" s="19"/>
      <c r="D80" s="19"/>
      <c r="E80" s="19"/>
      <c r="G80" s="19"/>
      <c r="I80" s="19"/>
      <c r="K80" s="19"/>
      <c r="L80" s="19"/>
      <c r="O80" s="19"/>
      <c r="P80" s="19"/>
      <c r="Q80" s="19"/>
      <c r="R80" s="36"/>
      <c r="S80" s="31" t="str">
        <f t="shared" si="2"/>
        <v/>
      </c>
      <c r="T80" s="32"/>
      <c r="V80" s="16" t="str">
        <f>IFERROR(__xludf.DUMMYFUNCTION("IF(ISERROR(INDEX(IFERROR(FILTER(SPLIT($V$1, CHAR(10)), NOT(REGEXMATCH(SPLIT($V$1, CHAR(10)), ""\?|\\"")))), ROW()-ROW($T$1:$T$194))), """", INDEX(IFERROR(FILTER(SPLIT($V$1, CHAR(10)), NOT(REGEXMATCH(SPLIT($V$1, CHAR(10)), ""\?|\\"")))), ROW()-ROW($T$1:$T$"&amp;"300)))"),"")</f>
        <v/>
      </c>
      <c r="W80" s="16">
        <f t="shared" si="1"/>
        <v>263</v>
      </c>
    </row>
    <row r="81">
      <c r="C81" s="19"/>
      <c r="D81" s="19"/>
      <c r="E81" s="19"/>
      <c r="G81" s="19"/>
      <c r="H81" s="19"/>
      <c r="I81" s="19"/>
      <c r="K81" s="19"/>
      <c r="L81" s="19"/>
      <c r="N81" s="19"/>
      <c r="O81" s="19"/>
      <c r="P81" s="19"/>
      <c r="Q81" s="19"/>
      <c r="R81" s="36"/>
      <c r="S81" s="31" t="str">
        <f t="shared" si="2"/>
        <v/>
      </c>
      <c r="T81" s="32"/>
      <c r="V81" s="16" t="str">
        <f>IFERROR(__xludf.DUMMYFUNCTION("IF(ISERROR(INDEX(IFERROR(FILTER(SPLIT($V$1, CHAR(10)), NOT(REGEXMATCH(SPLIT($V$1, CHAR(10)), ""\?|\\"")))), ROW()-ROW($T$1:$T$194))), """", INDEX(IFERROR(FILTER(SPLIT($V$1, CHAR(10)), NOT(REGEXMATCH(SPLIT($V$1, CHAR(10)), ""\?|\\"")))), ROW()-ROW($T$1:$T$"&amp;"300)))"),"")</f>
        <v/>
      </c>
      <c r="W81" s="16">
        <f t="shared" si="1"/>
        <v>263</v>
      </c>
    </row>
    <row r="82">
      <c r="C82" s="19"/>
      <c r="D82" s="19"/>
      <c r="E82" s="19"/>
      <c r="G82" s="19"/>
      <c r="H82" s="19"/>
      <c r="I82" s="19"/>
      <c r="K82" s="19"/>
      <c r="L82" s="19"/>
      <c r="N82" s="19"/>
      <c r="O82" s="19"/>
      <c r="P82" s="19"/>
      <c r="Q82" s="19"/>
      <c r="R82" s="35"/>
      <c r="S82" s="31" t="str">
        <f t="shared" si="2"/>
        <v/>
      </c>
      <c r="T82" s="32"/>
      <c r="V82" s="16" t="str">
        <f>IFERROR(__xludf.DUMMYFUNCTION("IF(ISERROR(INDEX(IFERROR(FILTER(SPLIT($V$1, CHAR(10)), NOT(REGEXMATCH(SPLIT($V$1, CHAR(10)), ""\?|\\"")))), ROW()-ROW($T$1:$T$194))), """", INDEX(IFERROR(FILTER(SPLIT($V$1, CHAR(10)), NOT(REGEXMATCH(SPLIT($V$1, CHAR(10)), ""\?|\\"")))), ROW()-ROW($T$1:$T$"&amp;"300)))"),"")</f>
        <v/>
      </c>
      <c r="W82" s="16">
        <f t="shared" si="1"/>
        <v>263</v>
      </c>
    </row>
    <row r="83">
      <c r="C83" s="19"/>
      <c r="D83" s="19"/>
      <c r="E83" s="19"/>
      <c r="G83" s="19"/>
      <c r="H83" s="19"/>
      <c r="I83" s="19"/>
      <c r="J83" s="19"/>
      <c r="K83" s="19"/>
      <c r="L83" s="19"/>
      <c r="N83" s="19"/>
      <c r="O83" s="19"/>
      <c r="P83" s="19"/>
      <c r="Q83" s="19"/>
      <c r="R83" s="35"/>
      <c r="S83" s="31" t="str">
        <f t="shared" si="2"/>
        <v/>
      </c>
      <c r="T83" s="32"/>
      <c r="V83" s="16" t="str">
        <f>IFERROR(__xludf.DUMMYFUNCTION("IF(ISERROR(INDEX(IFERROR(FILTER(SPLIT($V$1, CHAR(10)), NOT(REGEXMATCH(SPLIT($V$1, CHAR(10)), ""\?|\\"")))), ROW()-ROW($T$1:$T$194))), """", INDEX(IFERROR(FILTER(SPLIT($V$1, CHAR(10)), NOT(REGEXMATCH(SPLIT($V$1, CHAR(10)), ""\?|\\"")))), ROW()-ROW($T$1:$T$"&amp;"300)))"),"")</f>
        <v/>
      </c>
      <c r="W83" s="16">
        <f t="shared" si="1"/>
        <v>263</v>
      </c>
    </row>
    <row r="84">
      <c r="C84" s="19"/>
      <c r="D84" s="19"/>
      <c r="E84" s="19"/>
      <c r="G84" s="19"/>
      <c r="H84" s="19"/>
      <c r="I84" s="19"/>
      <c r="K84" s="19"/>
      <c r="L84" s="19"/>
      <c r="N84" s="19"/>
      <c r="O84" s="19"/>
      <c r="P84" s="19"/>
      <c r="Q84" s="19"/>
      <c r="R84" s="35"/>
      <c r="S84" s="31" t="str">
        <f t="shared" si="2"/>
        <v/>
      </c>
      <c r="T84" s="32"/>
      <c r="V84" s="16" t="str">
        <f>IFERROR(__xludf.DUMMYFUNCTION("IF(ISERROR(INDEX(IFERROR(FILTER(SPLIT($V$1, CHAR(10)), NOT(REGEXMATCH(SPLIT($V$1, CHAR(10)), ""\?|\\"")))), ROW()-ROW($T$1:$T$194))), """", INDEX(IFERROR(FILTER(SPLIT($V$1, CHAR(10)), NOT(REGEXMATCH(SPLIT($V$1, CHAR(10)), ""\?|\\"")))), ROW()-ROW($T$1:$T$"&amp;"300)))"),"")</f>
        <v/>
      </c>
      <c r="W84" s="16">
        <f t="shared" si="1"/>
        <v>263</v>
      </c>
    </row>
    <row r="85">
      <c r="C85" s="19"/>
      <c r="D85" s="19"/>
      <c r="E85" s="19"/>
      <c r="G85" s="19"/>
      <c r="H85" s="19"/>
      <c r="I85" s="19"/>
      <c r="J85" s="19"/>
      <c r="K85" s="19"/>
      <c r="L85" s="19"/>
      <c r="N85" s="19"/>
      <c r="O85" s="19"/>
      <c r="P85" s="19"/>
      <c r="Q85" s="19"/>
      <c r="R85" s="36"/>
      <c r="S85" s="31" t="str">
        <f t="shared" si="2"/>
        <v/>
      </c>
      <c r="T85" s="32"/>
      <c r="V85" s="16" t="str">
        <f>IFERROR(__xludf.DUMMYFUNCTION("IF(ISERROR(INDEX(IFERROR(FILTER(SPLIT($V$1, CHAR(10)), NOT(REGEXMATCH(SPLIT($V$1, CHAR(10)), ""\?|\\"")))), ROW()-ROW($T$1:$T$194))), """", INDEX(IFERROR(FILTER(SPLIT($V$1, CHAR(10)), NOT(REGEXMATCH(SPLIT($V$1, CHAR(10)), ""\?|\\"")))), ROW()-ROW($T$1:$T$"&amp;"300)))"),"")</f>
        <v/>
      </c>
      <c r="W85" s="16">
        <f t="shared" si="1"/>
        <v>263</v>
      </c>
    </row>
    <row r="86">
      <c r="C86" s="19"/>
      <c r="D86" s="19"/>
      <c r="E86" s="19"/>
      <c r="G86" s="19"/>
      <c r="H86" s="19"/>
      <c r="I86" s="19"/>
      <c r="K86" s="19"/>
      <c r="L86" s="19"/>
      <c r="N86" s="19"/>
      <c r="O86" s="19"/>
      <c r="P86" s="19"/>
      <c r="Q86" s="19"/>
      <c r="R86" s="36"/>
      <c r="S86" s="31" t="str">
        <f t="shared" si="2"/>
        <v/>
      </c>
      <c r="T86" s="32"/>
      <c r="V86" s="16" t="str">
        <f>IFERROR(__xludf.DUMMYFUNCTION("IF(ISERROR(INDEX(IFERROR(FILTER(SPLIT($V$1, CHAR(10)), NOT(REGEXMATCH(SPLIT($V$1, CHAR(10)), ""\?|\\"")))), ROW()-ROW($T$1:$T$194))), """", INDEX(IFERROR(FILTER(SPLIT($V$1, CHAR(10)), NOT(REGEXMATCH(SPLIT($V$1, CHAR(10)), ""\?|\\"")))), ROW()-ROW($T$1:$T$"&amp;"300)))"),"")</f>
        <v/>
      </c>
      <c r="W86" s="16">
        <f t="shared" si="1"/>
        <v>263</v>
      </c>
    </row>
    <row r="87">
      <c r="C87" s="19"/>
      <c r="D87" s="19"/>
      <c r="E87" s="19"/>
      <c r="G87" s="19"/>
      <c r="H87" s="19"/>
      <c r="I87" s="19"/>
      <c r="K87" s="19"/>
      <c r="L87" s="19"/>
      <c r="N87" s="19"/>
      <c r="O87" s="19"/>
      <c r="P87" s="19"/>
      <c r="Q87" s="19"/>
      <c r="R87" s="36"/>
      <c r="S87" s="31" t="str">
        <f t="shared" si="2"/>
        <v/>
      </c>
      <c r="T87" s="32"/>
      <c r="V87" s="16" t="str">
        <f>IFERROR(__xludf.DUMMYFUNCTION("IF(ISERROR(INDEX(IFERROR(FILTER(SPLIT($V$1, CHAR(10)), NOT(REGEXMATCH(SPLIT($V$1, CHAR(10)), ""\?|\\"")))), ROW()-ROW($T$1:$T$194))), """", INDEX(IFERROR(FILTER(SPLIT($V$1, CHAR(10)), NOT(REGEXMATCH(SPLIT($V$1, CHAR(10)), ""\?|\\"")))), ROW()-ROW($T$1:$T$"&amp;"300)))"),"")</f>
        <v/>
      </c>
      <c r="W87" s="16">
        <f t="shared" si="1"/>
        <v>263</v>
      </c>
    </row>
    <row r="88">
      <c r="B88" s="19"/>
      <c r="C88" s="19"/>
      <c r="D88" s="19"/>
      <c r="E88" s="19"/>
      <c r="G88" s="19"/>
      <c r="H88" s="19"/>
      <c r="I88" s="19"/>
      <c r="J88" s="19" t="s">
        <v>103</v>
      </c>
      <c r="K88" s="19"/>
      <c r="L88" s="19"/>
      <c r="N88" s="19"/>
      <c r="O88" s="19"/>
      <c r="P88" s="19"/>
      <c r="Q88" s="19"/>
      <c r="R88" s="36"/>
      <c r="S88" s="31" t="str">
        <f t="shared" si="2"/>
        <v/>
      </c>
      <c r="T88" s="32"/>
      <c r="V88" s="16" t="str">
        <f>IFERROR(__xludf.DUMMYFUNCTION("IF(ISERROR(INDEX(IFERROR(FILTER(SPLIT($V$1, CHAR(10)), NOT(REGEXMATCH(SPLIT($V$1, CHAR(10)), ""\?|\\"")))), ROW()-ROW($T$1:$T$194))), """", INDEX(IFERROR(FILTER(SPLIT($V$1, CHAR(10)), NOT(REGEXMATCH(SPLIT($V$1, CHAR(10)), ""\?|\\"")))), ROW()-ROW($T$1:$T$"&amp;"300)))"),"")</f>
        <v/>
      </c>
      <c r="W88" s="16">
        <f t="shared" si="1"/>
        <v>263</v>
      </c>
    </row>
    <row r="89">
      <c r="C89" s="19"/>
      <c r="D89" s="19"/>
      <c r="E89" s="19"/>
      <c r="G89" s="19"/>
      <c r="H89" s="19"/>
      <c r="I89" s="19"/>
      <c r="J89" s="19" t="s">
        <v>104</v>
      </c>
      <c r="K89" s="19"/>
      <c r="L89" s="19"/>
      <c r="N89" s="19"/>
      <c r="O89" s="19"/>
      <c r="P89" s="19"/>
      <c r="Q89" s="19"/>
      <c r="R89" s="36"/>
      <c r="S89" s="31" t="str">
        <f t="shared" si="2"/>
        <v/>
      </c>
      <c r="T89" s="32"/>
      <c r="V89" s="16" t="str">
        <f>IFERROR(__xludf.DUMMYFUNCTION("IF(ISERROR(INDEX(IFERROR(FILTER(SPLIT($V$1, CHAR(10)), NOT(REGEXMATCH(SPLIT($V$1, CHAR(10)), ""\?|\\"")))), ROW()-ROW($T$1:$T$194))), """", INDEX(IFERROR(FILTER(SPLIT($V$1, CHAR(10)), NOT(REGEXMATCH(SPLIT($V$1, CHAR(10)), ""\?|\\"")))), ROW()-ROW($T$1:$T$"&amp;"300)))"),"")</f>
        <v/>
      </c>
      <c r="W89" s="16">
        <f t="shared" si="1"/>
        <v>263</v>
      </c>
    </row>
    <row r="90">
      <c r="B90" s="19"/>
      <c r="C90" s="19"/>
      <c r="D90" s="19"/>
      <c r="E90" s="19"/>
      <c r="F90" s="19"/>
      <c r="G90" s="19"/>
      <c r="H90" s="19"/>
      <c r="I90" s="19"/>
      <c r="J90" s="19"/>
      <c r="K90" s="19"/>
      <c r="L90" s="19"/>
      <c r="N90" s="19"/>
      <c r="O90" s="19"/>
      <c r="P90" s="19"/>
      <c r="Q90" s="19"/>
      <c r="R90" s="36"/>
      <c r="S90" s="31" t="str">
        <f t="shared" si="2"/>
        <v/>
      </c>
      <c r="T90" s="32"/>
      <c r="V90" s="16" t="str">
        <f>IFERROR(__xludf.DUMMYFUNCTION("IF(ISERROR(INDEX(IFERROR(FILTER(SPLIT($V$1, CHAR(10)), NOT(REGEXMATCH(SPLIT($V$1, CHAR(10)), ""\?|\\"")))), ROW()-ROW($T$1:$T$194))), """", INDEX(IFERROR(FILTER(SPLIT($V$1, CHAR(10)), NOT(REGEXMATCH(SPLIT($V$1, CHAR(10)), ""\?|\\"")))), ROW()-ROW($T$1:$T$"&amp;"300)))"),"")</f>
        <v/>
      </c>
      <c r="W90" s="16">
        <f t="shared" si="1"/>
        <v>263</v>
      </c>
    </row>
    <row r="91">
      <c r="B91" s="2" t="s">
        <v>105</v>
      </c>
      <c r="C91" s="3"/>
      <c r="D91" s="4"/>
      <c r="F91" s="2" t="s">
        <v>106</v>
      </c>
      <c r="G91" s="3"/>
      <c r="H91" s="4"/>
      <c r="J91" s="2" t="s">
        <v>107</v>
      </c>
      <c r="K91" s="3"/>
      <c r="L91" s="4"/>
      <c r="N91" s="2" t="s">
        <v>108</v>
      </c>
      <c r="O91" s="3"/>
      <c r="P91" s="4"/>
      <c r="Q91" s="19"/>
      <c r="R91" s="36"/>
      <c r="S91" s="31" t="str">
        <f t="shared" si="2"/>
        <v/>
      </c>
      <c r="T91" s="32"/>
      <c r="V91" s="16" t="str">
        <f>IFERROR(__xludf.DUMMYFUNCTION("IF(ISERROR(INDEX(IFERROR(FILTER(SPLIT($V$1, CHAR(10)), NOT(REGEXMATCH(SPLIT($V$1, CHAR(10)), ""\?|\\"")))), ROW()-ROW($T$1:$T$194))), """", INDEX(IFERROR(FILTER(SPLIT($V$1, CHAR(10)), NOT(REGEXMATCH(SPLIT($V$1, CHAR(10)), ""\?|\\"")))), ROW()-ROW($T$1:$T$"&amp;"300)))"),"")</f>
        <v/>
      </c>
      <c r="W91" s="16">
        <f t="shared" si="1"/>
        <v>263</v>
      </c>
    </row>
    <row r="92">
      <c r="B92" s="12" t="s">
        <v>5</v>
      </c>
      <c r="C92" s="12"/>
      <c r="D92" s="12" t="s">
        <v>6</v>
      </c>
      <c r="F92" s="12" t="s">
        <v>5</v>
      </c>
      <c r="G92" s="12"/>
      <c r="H92" s="12" t="s">
        <v>6</v>
      </c>
      <c r="J92" s="12" t="s">
        <v>5</v>
      </c>
      <c r="K92" s="12"/>
      <c r="L92" s="12" t="s">
        <v>6</v>
      </c>
      <c r="N92" s="12" t="s">
        <v>5</v>
      </c>
      <c r="O92" s="12"/>
      <c r="P92" s="12"/>
      <c r="Q92" s="19"/>
      <c r="R92" s="36"/>
      <c r="S92" s="31" t="str">
        <f t="shared" si="2"/>
        <v/>
      </c>
      <c r="T92" s="32"/>
      <c r="V92" s="16" t="str">
        <f>IFERROR(__xludf.DUMMYFUNCTION("IF(ISERROR(INDEX(IFERROR(FILTER(SPLIT($V$1, CHAR(10)), NOT(REGEXMATCH(SPLIT($V$1, CHAR(10)), ""\?|\\"")))), ROW()-ROW($T$1:$T$194))), """", INDEX(IFERROR(FILTER(SPLIT($V$1, CHAR(10)), NOT(REGEXMATCH(SPLIT($V$1, CHAR(10)), ""\?|\\"")))), ROW()-ROW($T$1:$T$"&amp;"300)))"),"")</f>
        <v/>
      </c>
      <c r="W92" s="16">
        <f t="shared" si="1"/>
        <v>263</v>
      </c>
    </row>
    <row r="93">
      <c r="B93" s="19" t="s">
        <v>34</v>
      </c>
      <c r="D93" s="19" t="s">
        <v>109</v>
      </c>
      <c r="E93" s="19"/>
      <c r="F93" s="19" t="s">
        <v>7</v>
      </c>
      <c r="I93" s="19"/>
      <c r="J93" s="19" t="s">
        <v>35</v>
      </c>
      <c r="N93" s="19" t="s">
        <v>40</v>
      </c>
      <c r="Q93" s="19"/>
      <c r="R93" s="36"/>
      <c r="S93" s="31" t="str">
        <f t="shared" si="2"/>
        <v/>
      </c>
      <c r="T93" s="32"/>
      <c r="V93" s="16" t="str">
        <f>IFERROR(__xludf.DUMMYFUNCTION("IF(ISERROR(INDEX(IFERROR(FILTER(SPLIT($V$1, CHAR(10)), NOT(REGEXMATCH(SPLIT($V$1, CHAR(10)), ""\?|\\"")))), ROW()-ROW($T$1:$T$194))), """", INDEX(IFERROR(FILTER(SPLIT($V$1, CHAR(10)), NOT(REGEXMATCH(SPLIT($V$1, CHAR(10)), ""\?|\\"")))), ROW()-ROW($T$1:$T$"&amp;"300)))"),"")</f>
        <v/>
      </c>
      <c r="W93" s="16">
        <f t="shared" si="1"/>
        <v>263</v>
      </c>
    </row>
    <row r="94">
      <c r="E94" s="19"/>
      <c r="I94" s="19"/>
      <c r="J94" s="19" t="s">
        <v>110</v>
      </c>
      <c r="K94" s="19"/>
      <c r="N94" s="19" t="s">
        <v>27</v>
      </c>
      <c r="O94" s="19"/>
      <c r="Q94" s="19"/>
      <c r="R94" s="36"/>
      <c r="S94" s="31" t="str">
        <f t="shared" si="2"/>
        <v/>
      </c>
      <c r="T94" s="32"/>
      <c r="V94" s="16" t="str">
        <f>IFERROR(__xludf.DUMMYFUNCTION("IF(ISERROR(INDEX(IFERROR(FILTER(SPLIT($V$1, CHAR(10)), NOT(REGEXMATCH(SPLIT($V$1, CHAR(10)), ""\?|\\"")))), ROW()-ROW($T$1:$T$194))), """", INDEX(IFERROR(FILTER(SPLIT($V$1, CHAR(10)), NOT(REGEXMATCH(SPLIT($V$1, CHAR(10)), ""\?|\\"")))), ROW()-ROW($T$1:$T$"&amp;"300)))"),"")</f>
        <v/>
      </c>
      <c r="W94" s="16">
        <f t="shared" si="1"/>
        <v>263</v>
      </c>
    </row>
    <row r="95">
      <c r="E95" s="19"/>
      <c r="I95" s="19"/>
      <c r="O95" s="19"/>
      <c r="Q95" s="19"/>
      <c r="R95" s="36"/>
      <c r="S95" s="31" t="str">
        <f t="shared" si="2"/>
        <v/>
      </c>
      <c r="T95" s="32"/>
      <c r="V95" s="16" t="str">
        <f>IFERROR(__xludf.DUMMYFUNCTION("IF(ISERROR(INDEX(IFERROR(FILTER(SPLIT($V$1, CHAR(10)), NOT(REGEXMATCH(SPLIT($V$1, CHAR(10)), ""\?|\\"")))), ROW()-ROW($T$1:$T$194))), """", INDEX(IFERROR(FILTER(SPLIT($V$1, CHAR(10)), NOT(REGEXMATCH(SPLIT($V$1, CHAR(10)), ""\?|\\"")))), ROW()-ROW($T$1:$T$"&amp;"300)))"),"")</f>
        <v/>
      </c>
      <c r="W95" s="16">
        <f t="shared" si="1"/>
        <v>263</v>
      </c>
    </row>
    <row r="96">
      <c r="E96" s="19"/>
      <c r="I96" s="19"/>
      <c r="O96" s="19"/>
      <c r="Q96" s="19"/>
      <c r="R96" s="36"/>
      <c r="S96" s="31" t="str">
        <f t="shared" si="2"/>
        <v/>
      </c>
      <c r="T96" s="32"/>
      <c r="V96" s="16" t="str">
        <f>IFERROR(__xludf.DUMMYFUNCTION("IF(ISERROR(INDEX(IFERROR(FILTER(SPLIT($V$1, CHAR(10)), NOT(REGEXMATCH(SPLIT($V$1, CHAR(10)), ""\?|\\"")))), ROW()-ROW($T$1:$T$194))), """", INDEX(IFERROR(FILTER(SPLIT($V$1, CHAR(10)), NOT(REGEXMATCH(SPLIT($V$1, CHAR(10)), ""\?|\\"")))), ROW()-ROW($T$1:$T$"&amp;"300)))"),"")</f>
        <v/>
      </c>
      <c r="W96" s="16">
        <f t="shared" si="1"/>
        <v>263</v>
      </c>
    </row>
    <row r="97">
      <c r="E97" s="19"/>
      <c r="I97" s="19"/>
      <c r="O97" s="19"/>
      <c r="P97" s="19"/>
      <c r="Q97" s="19"/>
      <c r="R97" s="36"/>
      <c r="S97" s="31" t="str">
        <f t="shared" si="2"/>
        <v/>
      </c>
      <c r="T97" s="32"/>
      <c r="V97" s="16" t="str">
        <f>IFERROR(__xludf.DUMMYFUNCTION("IF(ISERROR(INDEX(IFERROR(FILTER(SPLIT($V$1, CHAR(10)), NOT(REGEXMATCH(SPLIT($V$1, CHAR(10)), ""\?|\\"")))), ROW()-ROW($T$1:$T$194))), """", INDEX(IFERROR(FILTER(SPLIT($V$1, CHAR(10)), NOT(REGEXMATCH(SPLIT($V$1, CHAR(10)), ""\?|\\"")))), ROW()-ROW($T$1:$T$"&amp;"300)))"),"")</f>
        <v/>
      </c>
      <c r="W97" s="16">
        <f t="shared" si="1"/>
        <v>263</v>
      </c>
    </row>
    <row r="98">
      <c r="E98" s="19"/>
      <c r="I98" s="19"/>
      <c r="O98" s="19"/>
      <c r="P98" s="19"/>
      <c r="Q98" s="19"/>
      <c r="R98" s="36"/>
      <c r="S98" s="31" t="str">
        <f t="shared" si="2"/>
        <v/>
      </c>
      <c r="T98" s="32"/>
      <c r="V98" s="16" t="str">
        <f>IFERROR(__xludf.DUMMYFUNCTION("IF(ISERROR(INDEX(IFERROR(FILTER(SPLIT($V$1, CHAR(10)), NOT(REGEXMATCH(SPLIT($V$1, CHAR(10)), ""\?|\\"")))), ROW()-ROW($T$1:$T$194))), """", INDEX(IFERROR(FILTER(SPLIT($V$1, CHAR(10)), NOT(REGEXMATCH(SPLIT($V$1, CHAR(10)), ""\?|\\"")))), ROW()-ROW($T$1:$T$"&amp;"300)))"),"")</f>
        <v/>
      </c>
      <c r="W98" s="16">
        <f t="shared" si="1"/>
        <v>263</v>
      </c>
    </row>
    <row r="99">
      <c r="E99" s="19"/>
      <c r="G99" s="19"/>
      <c r="H99" s="19"/>
      <c r="I99" s="19"/>
      <c r="O99" s="19"/>
      <c r="P99" s="19"/>
      <c r="Q99" s="19"/>
      <c r="R99" s="36"/>
      <c r="S99" s="31" t="str">
        <f t="shared" si="2"/>
        <v/>
      </c>
      <c r="T99" s="32"/>
      <c r="V99" s="16" t="str">
        <f>IFERROR(__xludf.DUMMYFUNCTION("IF(ISERROR(INDEX(IFERROR(FILTER(SPLIT($V$1, CHAR(10)), NOT(REGEXMATCH(SPLIT($V$1, CHAR(10)), ""\?|\\"")))), ROW()-ROW($T$1:$T$194))), """", INDEX(IFERROR(FILTER(SPLIT($V$1, CHAR(10)), NOT(REGEXMATCH(SPLIT($V$1, CHAR(10)), ""\?|\\"")))), ROW()-ROW($T$1:$T$"&amp;"300)))"),"")</f>
        <v/>
      </c>
      <c r="W99" s="16">
        <f t="shared" si="1"/>
        <v>263</v>
      </c>
    </row>
    <row r="100">
      <c r="E100" s="19"/>
      <c r="G100" s="19"/>
      <c r="H100" s="19"/>
      <c r="I100" s="19"/>
      <c r="O100" s="19"/>
      <c r="P100" s="19"/>
      <c r="Q100" s="19"/>
      <c r="R100" s="36"/>
      <c r="S100" s="31" t="str">
        <f t="shared" si="2"/>
        <v/>
      </c>
      <c r="T100" s="32"/>
      <c r="V100" s="16" t="str">
        <f>IFERROR(__xludf.DUMMYFUNCTION("IF(ISERROR(INDEX(IFERROR(FILTER(SPLIT($V$1, CHAR(10)), NOT(REGEXMATCH(SPLIT($V$1, CHAR(10)), ""\?|\\"")))), ROW()-ROW($T$1:$T$194))), """", INDEX(IFERROR(FILTER(SPLIT($V$1, CHAR(10)), NOT(REGEXMATCH(SPLIT($V$1, CHAR(10)), ""\?|\\"")))), ROW()-ROW($T$1:$T$"&amp;"300)))"),"")</f>
        <v/>
      </c>
      <c r="W100" s="16">
        <f t="shared" si="1"/>
        <v>263</v>
      </c>
    </row>
    <row r="101">
      <c r="E101" s="19"/>
      <c r="G101" s="19"/>
      <c r="H101" s="19"/>
      <c r="I101" s="19"/>
      <c r="O101" s="19"/>
      <c r="P101" s="19"/>
      <c r="Q101" s="19"/>
      <c r="R101" s="36"/>
      <c r="S101" s="31" t="str">
        <f t="shared" si="2"/>
        <v/>
      </c>
      <c r="T101" s="32"/>
      <c r="V101" s="16" t="str">
        <f>IFERROR(__xludf.DUMMYFUNCTION("IF(ISERROR(INDEX(IFERROR(FILTER(SPLIT($V$1, CHAR(10)), NOT(REGEXMATCH(SPLIT($V$1, CHAR(10)), ""\?|\\"")))), ROW()-ROW($T$1:$T$194))), """", INDEX(IFERROR(FILTER(SPLIT($V$1, CHAR(10)), NOT(REGEXMATCH(SPLIT($V$1, CHAR(10)), ""\?|\\"")))), ROW()-ROW($T$1:$T$"&amp;"300)))"),"")</f>
        <v/>
      </c>
      <c r="W101" s="16">
        <f t="shared" si="1"/>
        <v>263</v>
      </c>
    </row>
    <row r="102">
      <c r="C102" s="19"/>
      <c r="D102" s="19"/>
      <c r="E102" s="19"/>
      <c r="G102" s="19"/>
      <c r="H102" s="19"/>
      <c r="I102" s="19"/>
      <c r="O102" s="19"/>
      <c r="P102" s="19"/>
      <c r="Q102" s="19"/>
      <c r="R102" s="36"/>
      <c r="S102" s="31" t="str">
        <f t="shared" si="2"/>
        <v/>
      </c>
      <c r="T102" s="32"/>
      <c r="V102" s="16" t="str">
        <f>IFERROR(__xludf.DUMMYFUNCTION("IF(ISERROR(INDEX(IFERROR(FILTER(SPLIT($V$1, CHAR(10)), NOT(REGEXMATCH(SPLIT($V$1, CHAR(10)), ""\?|\\"")))), ROW()-ROW($T$1:$T$194))), """", INDEX(IFERROR(FILTER(SPLIT($V$1, CHAR(10)), NOT(REGEXMATCH(SPLIT($V$1, CHAR(10)), ""\?|\\"")))), ROW()-ROW($T$1:$T$"&amp;"300)))"),"")</f>
        <v/>
      </c>
      <c r="W102" s="16">
        <f t="shared" si="1"/>
        <v>263</v>
      </c>
    </row>
    <row r="103">
      <c r="C103" s="19"/>
      <c r="E103" s="19"/>
      <c r="F103" s="19"/>
      <c r="G103" s="19"/>
      <c r="H103" s="19"/>
      <c r="I103" s="19"/>
      <c r="O103" s="19"/>
      <c r="P103" s="19"/>
      <c r="Q103" s="19"/>
      <c r="R103" s="36"/>
      <c r="S103" s="31" t="str">
        <f t="shared" si="2"/>
        <v/>
      </c>
      <c r="T103" s="32"/>
      <c r="V103" s="16" t="str">
        <f>IFERROR(__xludf.DUMMYFUNCTION("IF(ISERROR(INDEX(IFERROR(FILTER(SPLIT($V$1, CHAR(10)), NOT(REGEXMATCH(SPLIT($V$1, CHAR(10)), ""\?|\\"")))), ROW()-ROW($T$1:$T$194))), """", INDEX(IFERROR(FILTER(SPLIT($V$1, CHAR(10)), NOT(REGEXMATCH(SPLIT($V$1, CHAR(10)), ""\?|\\"")))), ROW()-ROW($T$1:$T$"&amp;"300)))"),"")</f>
        <v/>
      </c>
      <c r="W103" s="16">
        <f t="shared" si="1"/>
        <v>263</v>
      </c>
    </row>
    <row r="104">
      <c r="C104" s="19"/>
      <c r="E104" s="19"/>
      <c r="F104" s="19"/>
      <c r="G104" s="19"/>
      <c r="H104" s="19"/>
      <c r="I104" s="19"/>
      <c r="K104" s="19"/>
      <c r="L104" s="19"/>
      <c r="O104" s="19"/>
      <c r="P104" s="19"/>
      <c r="Q104" s="34"/>
      <c r="R104" s="36"/>
      <c r="S104" s="31" t="str">
        <f t="shared" si="2"/>
        <v/>
      </c>
      <c r="T104" s="32"/>
      <c r="V104" s="16" t="str">
        <f>IFERROR(__xludf.DUMMYFUNCTION("IF(ISERROR(INDEX(IFERROR(FILTER(SPLIT($V$1, CHAR(10)), NOT(REGEXMATCH(SPLIT($V$1, CHAR(10)), ""\?|\\"")))), ROW()-ROW($T$1:$T$194))), """", INDEX(IFERROR(FILTER(SPLIT($V$1, CHAR(10)), NOT(REGEXMATCH(SPLIT($V$1, CHAR(10)), ""\?|\\"")))), ROW()-ROW($T$1:$T$"&amp;"300)))"),"")</f>
        <v/>
      </c>
      <c r="W104" s="16">
        <f t="shared" si="1"/>
        <v>263</v>
      </c>
    </row>
    <row r="105">
      <c r="C105" s="19"/>
      <c r="E105" s="19"/>
      <c r="F105" s="19"/>
      <c r="G105" s="19"/>
      <c r="H105" s="19"/>
      <c r="I105" s="19"/>
      <c r="K105" s="19"/>
      <c r="L105" s="19"/>
      <c r="O105" s="19"/>
      <c r="P105" s="19"/>
      <c r="Q105" s="34"/>
      <c r="R105" s="36"/>
      <c r="S105" s="31" t="str">
        <f t="shared" si="2"/>
        <v/>
      </c>
      <c r="T105" s="32"/>
      <c r="V105" s="16" t="str">
        <f>IFERROR(__xludf.DUMMYFUNCTION("IF(ISERROR(INDEX(IFERROR(FILTER(SPLIT($V$1, CHAR(10)), NOT(REGEXMATCH(SPLIT($V$1, CHAR(10)), ""\?|\\"")))), ROW()-ROW($T$1:$T$194))), """", INDEX(IFERROR(FILTER(SPLIT($V$1, CHAR(10)), NOT(REGEXMATCH(SPLIT($V$1, CHAR(10)), ""\?|\\"")))), ROW()-ROW($T$1:$T$"&amp;"300)))"),"")</f>
        <v/>
      </c>
      <c r="W105" s="16">
        <f t="shared" si="1"/>
        <v>263</v>
      </c>
    </row>
    <row r="106">
      <c r="C106" s="19"/>
      <c r="E106" s="19"/>
      <c r="F106" s="19"/>
      <c r="G106" s="19"/>
      <c r="H106" s="19"/>
      <c r="I106" s="19"/>
      <c r="K106" s="19"/>
      <c r="L106" s="19"/>
      <c r="O106" s="19"/>
      <c r="P106" s="19"/>
      <c r="Q106" s="34"/>
      <c r="R106" s="36"/>
      <c r="S106" s="31" t="str">
        <f t="shared" si="2"/>
        <v/>
      </c>
      <c r="T106" s="32"/>
      <c r="V106" s="16" t="str">
        <f>IFERROR(__xludf.DUMMYFUNCTION("IF(ISERROR(INDEX(IFERROR(FILTER(SPLIT($V$1, CHAR(10)), NOT(REGEXMATCH(SPLIT($V$1, CHAR(10)), ""\?|\\"")))), ROW()-ROW($T$1:$T$194))), """", INDEX(IFERROR(FILTER(SPLIT($V$1, CHAR(10)), NOT(REGEXMATCH(SPLIT($V$1, CHAR(10)), ""\?|\\"")))), ROW()-ROW($T$1:$T$"&amp;"300)))"),"")</f>
        <v/>
      </c>
      <c r="W106" s="16">
        <f t="shared" si="1"/>
        <v>263</v>
      </c>
    </row>
    <row r="107">
      <c r="C107" s="19"/>
      <c r="E107" s="19"/>
      <c r="F107" s="19"/>
      <c r="G107" s="19"/>
      <c r="H107" s="19"/>
      <c r="I107" s="19"/>
      <c r="K107" s="19"/>
      <c r="L107" s="19"/>
      <c r="O107" s="19"/>
      <c r="P107" s="19"/>
      <c r="Q107" s="34"/>
      <c r="R107" s="36"/>
      <c r="S107" s="31" t="str">
        <f t="shared" si="2"/>
        <v/>
      </c>
      <c r="T107" s="32"/>
      <c r="V107" s="16" t="str">
        <f>IFERROR(__xludf.DUMMYFUNCTION("IF(ISERROR(INDEX(IFERROR(FILTER(SPLIT($V$1, CHAR(10)), NOT(REGEXMATCH(SPLIT($V$1, CHAR(10)), ""\?|\\"")))), ROW()-ROW($T$1:$T$194))), """", INDEX(IFERROR(FILTER(SPLIT($V$1, CHAR(10)), NOT(REGEXMATCH(SPLIT($V$1, CHAR(10)), ""\?|\\"")))), ROW()-ROW($T$1:$T$"&amp;"300)))"),"")</f>
        <v/>
      </c>
      <c r="W107" s="16">
        <f t="shared" si="1"/>
        <v>263</v>
      </c>
    </row>
    <row r="108">
      <c r="C108" s="19"/>
      <c r="E108" s="19"/>
      <c r="F108" s="19"/>
      <c r="G108" s="19"/>
      <c r="H108" s="19"/>
      <c r="I108" s="19"/>
      <c r="K108" s="19"/>
      <c r="L108" s="19"/>
      <c r="O108" s="19"/>
      <c r="P108" s="19"/>
      <c r="Q108" s="34"/>
      <c r="R108" s="36"/>
      <c r="S108" s="31" t="str">
        <f t="shared" si="2"/>
        <v/>
      </c>
      <c r="T108" s="32"/>
      <c r="V108" s="16" t="str">
        <f>IFERROR(__xludf.DUMMYFUNCTION("IF(ISERROR(INDEX(IFERROR(FILTER(SPLIT($V$1, CHAR(10)), NOT(REGEXMATCH(SPLIT($V$1, CHAR(10)), ""\?|\\"")))), ROW()-ROW($T$1:$T$194))), """", INDEX(IFERROR(FILTER(SPLIT($V$1, CHAR(10)), NOT(REGEXMATCH(SPLIT($V$1, CHAR(10)), ""\?|\\"")))), ROW()-ROW($T$1:$T$"&amp;"300)))"),"")</f>
        <v/>
      </c>
      <c r="W108" s="16">
        <f t="shared" si="1"/>
        <v>263</v>
      </c>
    </row>
    <row r="109">
      <c r="C109" s="19"/>
      <c r="D109" s="19"/>
      <c r="E109" s="19"/>
      <c r="F109" s="19"/>
      <c r="G109" s="19"/>
      <c r="H109" s="19"/>
      <c r="I109" s="19"/>
      <c r="K109" s="19"/>
      <c r="L109" s="19"/>
      <c r="O109" s="19"/>
      <c r="P109" s="19"/>
      <c r="Q109" s="34"/>
      <c r="R109" s="35"/>
      <c r="S109" s="31" t="str">
        <f t="shared" si="2"/>
        <v/>
      </c>
      <c r="T109" s="32"/>
      <c r="V109" s="16" t="str">
        <f>IFERROR(__xludf.DUMMYFUNCTION("IF(ISERROR(INDEX(IFERROR(FILTER(SPLIT($V$1, CHAR(10)), NOT(REGEXMATCH(SPLIT($V$1, CHAR(10)), ""\?|\\"")))), ROW()-ROW($T$1:$T$194))), """", INDEX(IFERROR(FILTER(SPLIT($V$1, CHAR(10)), NOT(REGEXMATCH(SPLIT($V$1, CHAR(10)), ""\?|\\"")))), ROW()-ROW($T$1:$T$"&amp;"300)))"),"")</f>
        <v/>
      </c>
      <c r="W109" s="16">
        <f t="shared" si="1"/>
        <v>263</v>
      </c>
    </row>
    <row r="110">
      <c r="C110" s="19"/>
      <c r="D110" s="19"/>
      <c r="E110" s="19"/>
      <c r="F110" s="19"/>
      <c r="G110" s="19"/>
      <c r="H110" s="19"/>
      <c r="I110" s="19"/>
      <c r="K110" s="19"/>
      <c r="L110" s="19"/>
      <c r="O110" s="19"/>
      <c r="P110" s="19"/>
      <c r="Q110" s="34"/>
      <c r="R110" s="35"/>
      <c r="S110" s="31" t="str">
        <f t="shared" si="2"/>
        <v/>
      </c>
      <c r="T110" s="32"/>
      <c r="V110" s="16" t="str">
        <f>IFERROR(__xludf.DUMMYFUNCTION("IF(ISERROR(INDEX(IFERROR(FILTER(SPLIT($V$1, CHAR(10)), NOT(REGEXMATCH(SPLIT($V$1, CHAR(10)), ""\?|\\"")))), ROW()-ROW($T$1:$T$194))), """", INDEX(IFERROR(FILTER(SPLIT($V$1, CHAR(10)), NOT(REGEXMATCH(SPLIT($V$1, CHAR(10)), ""\?|\\"")))), ROW()-ROW($T$1:$T$"&amp;"300)))"),"")</f>
        <v/>
      </c>
      <c r="W110" s="16">
        <f t="shared" si="1"/>
        <v>263</v>
      </c>
    </row>
    <row r="111">
      <c r="B111" s="19"/>
      <c r="C111" s="19"/>
      <c r="D111" s="19"/>
      <c r="E111" s="19"/>
      <c r="F111" s="19"/>
      <c r="G111" s="19"/>
      <c r="H111" s="19"/>
      <c r="I111" s="19"/>
      <c r="K111" s="19"/>
      <c r="L111" s="19"/>
      <c r="O111" s="19"/>
      <c r="P111" s="19"/>
      <c r="Q111" s="34"/>
      <c r="R111" s="35"/>
      <c r="S111" s="31" t="str">
        <f t="shared" si="2"/>
        <v/>
      </c>
      <c r="T111" s="32"/>
      <c r="V111" s="16" t="str">
        <f>IFERROR(__xludf.DUMMYFUNCTION("IF(ISERROR(INDEX(IFERROR(FILTER(SPLIT($V$1, CHAR(10)), NOT(REGEXMATCH(SPLIT($V$1, CHAR(10)), ""\?|\\"")))), ROW()-ROW($T$1:$T$194))), """", INDEX(IFERROR(FILTER(SPLIT($V$1, CHAR(10)), NOT(REGEXMATCH(SPLIT($V$1, CHAR(10)), ""\?|\\"")))), ROW()-ROW($T$1:$T$"&amp;"300)))"),"")</f>
        <v/>
      </c>
      <c r="W111" s="16">
        <f t="shared" si="1"/>
        <v>263</v>
      </c>
    </row>
    <row r="112">
      <c r="C112" s="19"/>
      <c r="D112" s="19"/>
      <c r="E112" s="19"/>
      <c r="F112" s="19" t="s">
        <v>111</v>
      </c>
      <c r="G112" s="19"/>
      <c r="H112" s="19"/>
      <c r="I112" s="19"/>
      <c r="K112" s="19"/>
      <c r="L112" s="19"/>
      <c r="O112" s="19"/>
      <c r="P112" s="19"/>
      <c r="Q112" s="34"/>
      <c r="R112" s="35"/>
      <c r="S112" s="31" t="str">
        <f t="shared" si="2"/>
        <v/>
      </c>
      <c r="T112" s="32"/>
      <c r="V112" s="16" t="str">
        <f>IFERROR(__xludf.DUMMYFUNCTION("IF(ISERROR(INDEX(IFERROR(FILTER(SPLIT($V$1, CHAR(10)), NOT(REGEXMATCH(SPLIT($V$1, CHAR(10)), ""\?|\\"")))), ROW()-ROW($T$1:$T$194))), """", INDEX(IFERROR(FILTER(SPLIT($V$1, CHAR(10)), NOT(REGEXMATCH(SPLIT($V$1, CHAR(10)), ""\?|\\"")))), ROW()-ROW($T$1:$T$"&amp;"300)))"),"")</f>
        <v/>
      </c>
      <c r="W112" s="16">
        <f t="shared" si="1"/>
        <v>263</v>
      </c>
    </row>
    <row r="113">
      <c r="B113" s="19"/>
      <c r="C113" s="19"/>
      <c r="D113" s="19"/>
      <c r="E113" s="19"/>
      <c r="F113" s="19"/>
      <c r="G113" s="19"/>
      <c r="H113" s="19"/>
      <c r="I113" s="19"/>
      <c r="K113" s="19"/>
      <c r="L113" s="19"/>
      <c r="O113" s="19"/>
      <c r="P113" s="19"/>
      <c r="Q113" s="34"/>
      <c r="R113" s="35"/>
      <c r="S113" s="31" t="str">
        <f t="shared" si="2"/>
        <v/>
      </c>
      <c r="T113" s="32"/>
      <c r="V113" s="16" t="str">
        <f>IFERROR(__xludf.DUMMYFUNCTION("IF(ISERROR(INDEX(IFERROR(FILTER(SPLIT($V$1, CHAR(10)), NOT(REGEXMATCH(SPLIT($V$1, CHAR(10)), ""\?|\\"")))), ROW()-ROW($T$1:$T$194))), """", INDEX(IFERROR(FILTER(SPLIT($V$1, CHAR(10)), NOT(REGEXMATCH(SPLIT($V$1, CHAR(10)), ""\?|\\"")))), ROW()-ROW($T$1:$T$"&amp;"300)))"),"")</f>
        <v/>
      </c>
      <c r="W113" s="16">
        <f t="shared" si="1"/>
        <v>263</v>
      </c>
    </row>
    <row r="114">
      <c r="B114" s="2" t="s">
        <v>112</v>
      </c>
      <c r="C114" s="3"/>
      <c r="D114" s="4"/>
      <c r="F114" s="2" t="s">
        <v>113</v>
      </c>
      <c r="G114" s="3"/>
      <c r="H114" s="4"/>
      <c r="J114" s="2" t="s">
        <v>114</v>
      </c>
      <c r="K114" s="3"/>
      <c r="L114" s="4"/>
      <c r="N114" s="2" t="s">
        <v>115</v>
      </c>
      <c r="O114" s="3"/>
      <c r="P114" s="4"/>
      <c r="Q114" s="34"/>
      <c r="R114" s="35"/>
      <c r="S114" s="31" t="str">
        <f t="shared" si="2"/>
        <v/>
      </c>
      <c r="T114" s="32"/>
      <c r="V114" s="16" t="str">
        <f>IFERROR(__xludf.DUMMYFUNCTION("IF(ISERROR(INDEX(IFERROR(FILTER(SPLIT($V$1, CHAR(10)), NOT(REGEXMATCH(SPLIT($V$1, CHAR(10)), ""\?|\\"")))), ROW()-ROW($T$1:$T$194))), """", INDEX(IFERROR(FILTER(SPLIT($V$1, CHAR(10)), NOT(REGEXMATCH(SPLIT($V$1, CHAR(10)), ""\?|\\"")))), ROW()-ROW($T$1:$T$"&amp;"300)))"),"")</f>
        <v/>
      </c>
      <c r="W114" s="16">
        <f t="shared" si="1"/>
        <v>263</v>
      </c>
    </row>
    <row r="115">
      <c r="B115" s="12" t="s">
        <v>5</v>
      </c>
      <c r="C115" s="12"/>
      <c r="D115" s="12" t="s">
        <v>6</v>
      </c>
      <c r="F115" s="12" t="s">
        <v>116</v>
      </c>
      <c r="G115" s="12"/>
      <c r="H115" s="12" t="s">
        <v>6</v>
      </c>
      <c r="J115" s="12" t="s">
        <v>5</v>
      </c>
      <c r="K115" s="12"/>
      <c r="L115" s="12" t="s">
        <v>6</v>
      </c>
      <c r="N115" s="12" t="s">
        <v>5</v>
      </c>
      <c r="O115" s="12"/>
      <c r="P115" s="12" t="s">
        <v>6</v>
      </c>
      <c r="Q115" s="34"/>
      <c r="R115" s="35"/>
      <c r="S115" s="31" t="str">
        <f t="shared" si="2"/>
        <v/>
      </c>
      <c r="T115" s="32"/>
      <c r="V115" s="16" t="str">
        <f>IFERROR(__xludf.DUMMYFUNCTION("IF(ISERROR(INDEX(IFERROR(FILTER(SPLIT($V$1, CHAR(10)), NOT(REGEXMATCH(SPLIT($V$1, CHAR(10)), ""\?|\\"")))), ROW()-ROW($T$1:$T$194))), """", INDEX(IFERROR(FILTER(SPLIT($V$1, CHAR(10)), NOT(REGEXMATCH(SPLIT($V$1, CHAR(10)), ""\?|\\"")))), ROW()-ROW($T$1:$T$"&amp;"300)))"),"")</f>
        <v/>
      </c>
      <c r="W115" s="16">
        <f t="shared" si="1"/>
        <v>263</v>
      </c>
    </row>
    <row r="116">
      <c r="F116" s="19" t="s">
        <v>117</v>
      </c>
      <c r="H116" s="19" t="s">
        <v>118</v>
      </c>
      <c r="I116" s="19"/>
      <c r="J116" s="19" t="s">
        <v>49</v>
      </c>
      <c r="K116" s="19"/>
      <c r="L116" s="19"/>
      <c r="M116" s="19"/>
      <c r="O116" s="19"/>
      <c r="Q116" s="34"/>
      <c r="R116" s="35"/>
      <c r="S116" s="31" t="str">
        <f t="shared" si="2"/>
        <v/>
      </c>
      <c r="T116" s="32"/>
      <c r="V116" s="16" t="str">
        <f>IFERROR(__xludf.DUMMYFUNCTION("IF(ISERROR(INDEX(IFERROR(FILTER(SPLIT($V$1, CHAR(10)), NOT(REGEXMATCH(SPLIT($V$1, CHAR(10)), ""\?|\\"")))), ROW()-ROW($T$1:$T$194))), """", INDEX(IFERROR(FILTER(SPLIT($V$1, CHAR(10)), NOT(REGEXMATCH(SPLIT($V$1, CHAR(10)), ""\?|\\"")))), ROW()-ROW($T$1:$T$"&amp;"300)))"),"")</f>
        <v/>
      </c>
      <c r="W116" s="16">
        <f t="shared" si="1"/>
        <v>263</v>
      </c>
    </row>
    <row r="117">
      <c r="B117" s="19" t="s">
        <v>7</v>
      </c>
      <c r="C117" s="19"/>
      <c r="D117" s="19"/>
      <c r="F117" s="19" t="s">
        <v>119</v>
      </c>
      <c r="H117" s="19" t="s">
        <v>120</v>
      </c>
      <c r="I117" s="19"/>
      <c r="J117" s="19" t="s">
        <v>50</v>
      </c>
      <c r="K117" s="19"/>
      <c r="L117" s="19"/>
      <c r="M117" s="19"/>
      <c r="N117" s="41"/>
      <c r="O117" s="19"/>
      <c r="Q117" s="34"/>
      <c r="R117" s="35"/>
      <c r="S117" s="31" t="str">
        <f t="shared" si="2"/>
        <v/>
      </c>
      <c r="T117" s="32"/>
      <c r="V117" s="16" t="str">
        <f>IFERROR(__xludf.DUMMYFUNCTION("IF(ISERROR(INDEX(IFERROR(FILTER(SPLIT($V$1, CHAR(10)), NOT(REGEXMATCH(SPLIT($V$1, CHAR(10)), ""\?|\\"")))), ROW()-ROW($T$1:$T$194))), """", INDEX(IFERROR(FILTER(SPLIT($V$1, CHAR(10)), NOT(REGEXMATCH(SPLIT($V$1, CHAR(10)), ""\?|\\"")))), ROW()-ROW($T$1:$T$"&amp;"300)))"),"")</f>
        <v/>
      </c>
      <c r="W117" s="16">
        <f t="shared" si="1"/>
        <v>263</v>
      </c>
    </row>
    <row r="118">
      <c r="B118" s="41"/>
      <c r="C118" s="42"/>
      <c r="D118" s="43"/>
      <c r="I118" s="19"/>
      <c r="J118" s="19" t="s">
        <v>121</v>
      </c>
      <c r="M118" s="19"/>
      <c r="N118" s="19" t="s">
        <v>122</v>
      </c>
      <c r="P118" s="19" t="s">
        <v>123</v>
      </c>
      <c r="Q118" s="34"/>
      <c r="R118" s="35"/>
      <c r="S118" s="31" t="str">
        <f t="shared" si="2"/>
        <v/>
      </c>
      <c r="T118" s="32"/>
      <c r="V118" s="16" t="str">
        <f>IFERROR(__xludf.DUMMYFUNCTION("IF(ISERROR(INDEX(IFERROR(FILTER(SPLIT($V$1, CHAR(10)), NOT(REGEXMATCH(SPLIT($V$1, CHAR(10)), ""\?|\\"")))), ROW()-ROW($T$1:$T$194))), """", INDEX(IFERROR(FILTER(SPLIT($V$1, CHAR(10)), NOT(REGEXMATCH(SPLIT($V$1, CHAR(10)), ""\?|\\"")))), ROW()-ROW($T$1:$T$"&amp;"300)))"),"")</f>
        <v/>
      </c>
      <c r="W118" s="16">
        <f t="shared" si="1"/>
        <v>263</v>
      </c>
    </row>
    <row r="119">
      <c r="B119" s="19" t="s">
        <v>124</v>
      </c>
      <c r="D119" s="41"/>
      <c r="I119" s="19"/>
      <c r="J119" s="19" t="s">
        <v>125</v>
      </c>
      <c r="K119" s="19"/>
      <c r="M119" s="19"/>
      <c r="O119" s="19"/>
      <c r="Q119" s="34"/>
      <c r="R119" s="35"/>
      <c r="S119" s="31" t="str">
        <f t="shared" si="2"/>
        <v/>
      </c>
      <c r="T119" s="32"/>
      <c r="V119" s="16" t="str">
        <f>IFERROR(__xludf.DUMMYFUNCTION("IF(ISERROR(INDEX(IFERROR(FILTER(SPLIT($V$1, CHAR(10)), NOT(REGEXMATCH(SPLIT($V$1, CHAR(10)), ""\?|\\"")))), ROW()-ROW($T$1:$T$194))), """", INDEX(IFERROR(FILTER(SPLIT($V$1, CHAR(10)), NOT(REGEXMATCH(SPLIT($V$1, CHAR(10)), ""\?|\\"")))), ROW()-ROW($T$1:$T$"&amp;"300)))"),"")</f>
        <v/>
      </c>
      <c r="W119" s="16">
        <f t="shared" si="1"/>
        <v>263</v>
      </c>
    </row>
    <row r="120">
      <c r="C120" s="42"/>
      <c r="D120" s="41"/>
      <c r="I120" s="19"/>
      <c r="J120" s="19" t="s">
        <v>126</v>
      </c>
      <c r="K120" s="19"/>
      <c r="M120" s="19"/>
      <c r="Q120" s="34"/>
      <c r="R120" s="35"/>
      <c r="S120" s="31" t="str">
        <f t="shared" si="2"/>
        <v/>
      </c>
      <c r="T120" s="32"/>
      <c r="V120" s="16" t="str">
        <f>IFERROR(__xludf.DUMMYFUNCTION("IF(ISERROR(INDEX(IFERROR(FILTER(SPLIT($V$1, CHAR(10)), NOT(REGEXMATCH(SPLIT($V$1, CHAR(10)), ""\?|\\"")))), ROW()-ROW($T$1:$T$194))), """", INDEX(IFERROR(FILTER(SPLIT($V$1, CHAR(10)), NOT(REGEXMATCH(SPLIT($V$1, CHAR(10)), ""\?|\\"")))), ROW()-ROW($T$1:$T$"&amp;"300)))"),"")</f>
        <v/>
      </c>
      <c r="W120" s="16">
        <f t="shared" si="1"/>
        <v>263</v>
      </c>
    </row>
    <row r="121">
      <c r="G121" s="19"/>
      <c r="H121" s="19"/>
      <c r="I121" s="19"/>
      <c r="J121" s="19" t="s">
        <v>51</v>
      </c>
      <c r="K121" s="19"/>
      <c r="M121" s="19"/>
      <c r="O121" s="19"/>
      <c r="Q121" s="34"/>
      <c r="R121" s="35"/>
      <c r="S121" s="31" t="str">
        <f t="shared" si="2"/>
        <v/>
      </c>
      <c r="T121" s="32"/>
      <c r="V121" s="16" t="str">
        <f>IFERROR(__xludf.DUMMYFUNCTION("IF(ISERROR(INDEX(IFERROR(FILTER(SPLIT($V$1, CHAR(10)), NOT(REGEXMATCH(SPLIT($V$1, CHAR(10)), ""\?|\\"")))), ROW()-ROW($T$1:$T$194))), """", INDEX(IFERROR(FILTER(SPLIT($V$1, CHAR(10)), NOT(REGEXMATCH(SPLIT($V$1, CHAR(10)), ""\?|\\"")))), ROW()-ROW($T$1:$T$"&amp;"300)))"),"")</f>
        <v/>
      </c>
      <c r="W121" s="16">
        <f t="shared" si="1"/>
        <v>263</v>
      </c>
    </row>
    <row r="122">
      <c r="B122" s="19" t="s">
        <v>127</v>
      </c>
      <c r="I122" s="19"/>
      <c r="K122" s="19" t="s">
        <v>128</v>
      </c>
      <c r="M122" s="19"/>
      <c r="N122" s="41"/>
      <c r="Q122" s="34"/>
      <c r="R122" s="35"/>
      <c r="S122" s="31" t="str">
        <f t="shared" si="2"/>
        <v/>
      </c>
      <c r="T122" s="32"/>
      <c r="V122" s="16" t="str">
        <f>IFERROR(__xludf.DUMMYFUNCTION("IF(ISERROR(INDEX(IFERROR(FILTER(SPLIT($V$1, CHAR(10)), NOT(REGEXMATCH(SPLIT($V$1, CHAR(10)), ""\?|\\"")))), ROW()-ROW($T$1:$T$194))), """", INDEX(IFERROR(FILTER(SPLIT($V$1, CHAR(10)), NOT(REGEXMATCH(SPLIT($V$1, CHAR(10)), ""\?|\\"")))), ROW()-ROW($T$1:$T$"&amp;"300)))"),"")</f>
        <v/>
      </c>
      <c r="W122" s="16">
        <f t="shared" si="1"/>
        <v>263</v>
      </c>
    </row>
    <row r="123">
      <c r="B123" s="19" t="s">
        <v>41</v>
      </c>
      <c r="C123" s="19"/>
      <c r="D123" s="19"/>
      <c r="G123" s="19"/>
      <c r="I123" s="19"/>
      <c r="J123" s="19" t="s">
        <v>129</v>
      </c>
      <c r="K123" s="19"/>
      <c r="M123" s="19"/>
      <c r="Q123" s="34"/>
      <c r="R123" s="35"/>
      <c r="S123" s="31" t="str">
        <f t="shared" si="2"/>
        <v/>
      </c>
      <c r="T123" s="32"/>
      <c r="V123" s="16" t="str">
        <f>IFERROR(__xludf.DUMMYFUNCTION("IF(ISERROR(INDEX(IFERROR(FILTER(SPLIT($V$1, CHAR(10)), NOT(REGEXMATCH(SPLIT($V$1, CHAR(10)), ""\?|\\"")))), ROW()-ROW($T$1:$T$194))), """", INDEX(IFERROR(FILTER(SPLIT($V$1, CHAR(10)), NOT(REGEXMATCH(SPLIT($V$1, CHAR(10)), ""\?|\\"")))), ROW()-ROW($T$1:$T$"&amp;"300)))"),"")</f>
        <v/>
      </c>
      <c r="W123" s="16">
        <f t="shared" si="1"/>
        <v>263</v>
      </c>
    </row>
    <row r="124">
      <c r="B124" s="19" t="s">
        <v>45</v>
      </c>
      <c r="G124" s="19"/>
      <c r="H124" s="19"/>
      <c r="I124" s="19"/>
      <c r="J124" s="19" t="s">
        <v>52</v>
      </c>
      <c r="K124" s="19"/>
      <c r="M124" s="19"/>
      <c r="Q124" s="34"/>
      <c r="R124" s="35"/>
      <c r="S124" s="31" t="str">
        <f t="shared" si="2"/>
        <v/>
      </c>
      <c r="T124" s="32"/>
      <c r="V124" s="16" t="str">
        <f>IFERROR(__xludf.DUMMYFUNCTION("IF(ISERROR(INDEX(IFERROR(FILTER(SPLIT($V$1, CHAR(10)), NOT(REGEXMATCH(SPLIT($V$1, CHAR(10)), ""\?|\\"")))), ROW()-ROW($T$1:$T$194))), """", INDEX(IFERROR(FILTER(SPLIT($V$1, CHAR(10)), NOT(REGEXMATCH(SPLIT($V$1, CHAR(10)), ""\?|\\"")))), ROW()-ROW($T$1:$T$"&amp;"300)))"),"")</f>
        <v/>
      </c>
      <c r="W124" s="16">
        <f t="shared" si="1"/>
        <v>263</v>
      </c>
    </row>
    <row r="125">
      <c r="B125" s="19" t="s">
        <v>48</v>
      </c>
      <c r="C125" s="19"/>
      <c r="D125" s="19"/>
      <c r="G125" s="19"/>
      <c r="H125" s="19"/>
      <c r="I125" s="19"/>
      <c r="J125" s="19" t="s">
        <v>53</v>
      </c>
      <c r="K125" s="19"/>
      <c r="M125" s="19"/>
      <c r="Q125" s="34"/>
      <c r="R125" s="35"/>
      <c r="S125" s="31" t="str">
        <f t="shared" si="2"/>
        <v/>
      </c>
      <c r="T125" s="32"/>
      <c r="V125" s="16" t="str">
        <f>IFERROR(__xludf.DUMMYFUNCTION("IF(ISERROR(INDEX(IFERROR(FILTER(SPLIT($V$1, CHAR(10)), NOT(REGEXMATCH(SPLIT($V$1, CHAR(10)), ""\?|\\"")))), ROW()-ROW($T$1:$T$194))), """", INDEX(IFERROR(FILTER(SPLIT($V$1, CHAR(10)), NOT(REGEXMATCH(SPLIT($V$1, CHAR(10)), ""\?|\\"")))), ROW()-ROW($T$1:$T$"&amp;"300)))"),"")</f>
        <v/>
      </c>
      <c r="W125" s="16">
        <f t="shared" si="1"/>
        <v>263</v>
      </c>
    </row>
    <row r="126">
      <c r="C126" s="19"/>
      <c r="D126" s="19"/>
      <c r="G126" s="19"/>
      <c r="H126" s="19"/>
      <c r="I126" s="19"/>
      <c r="J126" s="19" t="s">
        <v>130</v>
      </c>
      <c r="K126" s="19"/>
      <c r="M126" s="19"/>
      <c r="N126" s="19"/>
      <c r="Q126" s="34"/>
      <c r="R126" s="35"/>
      <c r="S126" s="31" t="str">
        <f t="shared" si="2"/>
        <v/>
      </c>
      <c r="T126" s="32"/>
      <c r="V126" s="16" t="str">
        <f>IFERROR(__xludf.DUMMYFUNCTION("IF(ISERROR(INDEX(IFERROR(FILTER(SPLIT($V$1, CHAR(10)), NOT(REGEXMATCH(SPLIT($V$1, CHAR(10)), ""\?|\\"")))), ROW()-ROW($T$1:$T$194))), """", INDEX(IFERROR(FILTER(SPLIT($V$1, CHAR(10)), NOT(REGEXMATCH(SPLIT($V$1, CHAR(10)), ""\?|\\"")))), ROW()-ROW($T$1:$T$"&amp;"300)))"),"")</f>
        <v/>
      </c>
      <c r="W126" s="16">
        <f t="shared" si="1"/>
        <v>263</v>
      </c>
    </row>
    <row r="127">
      <c r="C127" s="19"/>
      <c r="D127" s="19"/>
      <c r="I127" s="19"/>
      <c r="J127" s="19" t="s">
        <v>131</v>
      </c>
      <c r="M127" s="19"/>
      <c r="O127" s="19"/>
      <c r="P127" s="19"/>
      <c r="Q127" s="34"/>
      <c r="R127" s="35"/>
      <c r="S127" s="31" t="str">
        <f t="shared" si="2"/>
        <v/>
      </c>
      <c r="T127" s="32"/>
      <c r="V127" s="16" t="str">
        <f>IFERROR(__xludf.DUMMYFUNCTION("IF(ISERROR(INDEX(IFERROR(FILTER(SPLIT($V$1, CHAR(10)), NOT(REGEXMATCH(SPLIT($V$1, CHAR(10)), ""\?|\\"")))), ROW()-ROW($T$1:$T$194))), """", INDEX(IFERROR(FILTER(SPLIT($V$1, CHAR(10)), NOT(REGEXMATCH(SPLIT($V$1, CHAR(10)), ""\?|\\"")))), ROW()-ROW($T$1:$T$"&amp;"300)))"),"")</f>
        <v/>
      </c>
      <c r="W127" s="16">
        <f t="shared" si="1"/>
        <v>263</v>
      </c>
    </row>
    <row r="128">
      <c r="C128" s="19"/>
      <c r="D128" s="19"/>
      <c r="I128" s="19"/>
      <c r="M128" s="19"/>
      <c r="O128" s="19"/>
      <c r="P128" s="19"/>
      <c r="Q128" s="34"/>
      <c r="R128" s="35"/>
      <c r="S128" s="31" t="str">
        <f t="shared" si="2"/>
        <v/>
      </c>
      <c r="T128" s="32"/>
      <c r="V128" s="16" t="str">
        <f>IFERROR(__xludf.DUMMYFUNCTION("IF(ISERROR(INDEX(IFERROR(FILTER(SPLIT($V$1, CHAR(10)), NOT(REGEXMATCH(SPLIT($V$1, CHAR(10)), ""\?|\\"")))), ROW()-ROW($T$1:$T$194))), """", INDEX(IFERROR(FILTER(SPLIT($V$1, CHAR(10)), NOT(REGEXMATCH(SPLIT($V$1, CHAR(10)), ""\?|\\"")))), ROW()-ROW($T$1:$T$"&amp;"300)))"),"")</f>
        <v/>
      </c>
      <c r="W128" s="16">
        <f t="shared" si="1"/>
        <v>263</v>
      </c>
    </row>
    <row r="129">
      <c r="B129" s="19" t="s">
        <v>132</v>
      </c>
      <c r="C129" s="19"/>
      <c r="D129" s="19"/>
      <c r="I129" s="19"/>
      <c r="M129" s="19"/>
      <c r="N129" s="19"/>
      <c r="O129" s="19"/>
      <c r="P129" s="19"/>
      <c r="Q129" s="34"/>
      <c r="R129" s="35"/>
      <c r="S129" s="31" t="str">
        <f t="shared" si="2"/>
        <v/>
      </c>
      <c r="T129" s="32"/>
      <c r="V129" s="16" t="str">
        <f>IFERROR(__xludf.DUMMYFUNCTION("IF(ISERROR(INDEX(IFERROR(FILTER(SPLIT($V$1, CHAR(10)), NOT(REGEXMATCH(SPLIT($V$1, CHAR(10)), ""\?|\\"")))), ROW()-ROW($T$1:$T$194))), """", INDEX(IFERROR(FILTER(SPLIT($V$1, CHAR(10)), NOT(REGEXMATCH(SPLIT($V$1, CHAR(10)), ""\?|\\"")))), ROW()-ROW($T$1:$T$"&amp;"300)))"),"")</f>
        <v/>
      </c>
      <c r="W129" s="16">
        <f t="shared" si="1"/>
        <v>263</v>
      </c>
    </row>
    <row r="130">
      <c r="B130" s="19"/>
      <c r="C130" s="19"/>
      <c r="D130" s="19"/>
      <c r="I130" s="19"/>
      <c r="K130" s="19"/>
      <c r="M130" s="19"/>
      <c r="O130" s="19"/>
      <c r="P130" s="19"/>
      <c r="Q130" s="34"/>
      <c r="R130" s="35"/>
      <c r="S130" s="31" t="str">
        <f t="shared" si="2"/>
        <v/>
      </c>
      <c r="T130" s="32"/>
      <c r="V130" s="16" t="str">
        <f>IFERROR(__xludf.DUMMYFUNCTION("IF(ISERROR(INDEX(IFERROR(FILTER(SPLIT($V$1, CHAR(10)), NOT(REGEXMATCH(SPLIT($V$1, CHAR(10)), ""\?|\\"")))), ROW()-ROW($T$1:$T$194))), """", INDEX(IFERROR(FILTER(SPLIT($V$1, CHAR(10)), NOT(REGEXMATCH(SPLIT($V$1, CHAR(10)), ""\?|\\"")))), ROW()-ROW($T$1:$T$"&amp;"300)))"),"")</f>
        <v/>
      </c>
      <c r="W130" s="16">
        <f t="shared" si="1"/>
        <v>263</v>
      </c>
    </row>
    <row r="131">
      <c r="B131" s="44"/>
      <c r="C131" s="44"/>
      <c r="D131" s="44"/>
      <c r="E131" s="34"/>
      <c r="G131" s="44"/>
      <c r="H131" s="44"/>
      <c r="I131" s="34"/>
      <c r="J131" s="19"/>
      <c r="K131" s="44"/>
      <c r="L131" s="44"/>
      <c r="M131" s="34"/>
      <c r="O131" s="45"/>
      <c r="P131" s="45"/>
      <c r="Q131" s="34"/>
      <c r="R131" s="35"/>
      <c r="S131" s="31" t="str">
        <f t="shared" si="2"/>
        <v/>
      </c>
      <c r="T131" s="32"/>
      <c r="V131" s="16" t="str">
        <f>IFERROR(__xludf.DUMMYFUNCTION("IF(ISERROR(INDEX(IFERROR(FILTER(SPLIT($V$1, CHAR(10)), NOT(REGEXMATCH(SPLIT($V$1, CHAR(10)), ""\?|\\"")))), ROW()-ROW($T$1:$T$194))), """", INDEX(IFERROR(FILTER(SPLIT($V$1, CHAR(10)), NOT(REGEXMATCH(SPLIT($V$1, CHAR(10)), ""\?|\\"")))), ROW()-ROW($T$1:$T$"&amp;"300)))"),"")</f>
        <v/>
      </c>
      <c r="W131" s="16">
        <f t="shared" si="1"/>
        <v>263</v>
      </c>
    </row>
    <row r="132">
      <c r="B132" s="46" t="s">
        <v>133</v>
      </c>
      <c r="C132" s="47"/>
      <c r="D132" s="48"/>
      <c r="E132" s="34"/>
      <c r="F132" s="2" t="s">
        <v>134</v>
      </c>
      <c r="G132" s="3"/>
      <c r="H132" s="4"/>
      <c r="I132" s="34"/>
      <c r="J132" s="2" t="s">
        <v>135</v>
      </c>
      <c r="K132" s="3"/>
      <c r="L132" s="4"/>
      <c r="M132" s="34"/>
      <c r="N132" s="2" t="s">
        <v>136</v>
      </c>
      <c r="O132" s="3"/>
      <c r="P132" s="4"/>
      <c r="Q132" s="34"/>
      <c r="R132" s="35"/>
      <c r="S132" s="31" t="str">
        <f t="shared" si="2"/>
        <v/>
      </c>
      <c r="T132" s="32"/>
      <c r="V132" s="16" t="str">
        <f>IFERROR(__xludf.DUMMYFUNCTION("IF(ISERROR(INDEX(IFERROR(FILTER(SPLIT($V$1, CHAR(10)), NOT(REGEXMATCH(SPLIT($V$1, CHAR(10)), ""\?|\\"")))), ROW()-ROW($T$1:$T$194))), """", INDEX(IFERROR(FILTER(SPLIT($V$1, CHAR(10)), NOT(REGEXMATCH(SPLIT($V$1, CHAR(10)), ""\?|\\"")))), ROW()-ROW($T$1:$T$"&amp;"300)))"),"")</f>
        <v/>
      </c>
      <c r="W132" s="16">
        <f t="shared" si="1"/>
        <v>263</v>
      </c>
    </row>
    <row r="133">
      <c r="B133" s="12" t="s">
        <v>5</v>
      </c>
      <c r="C133" s="12"/>
      <c r="D133" s="12" t="s">
        <v>6</v>
      </c>
      <c r="F133" s="12" t="s">
        <v>5</v>
      </c>
      <c r="G133" s="12"/>
      <c r="H133" s="12" t="s">
        <v>6</v>
      </c>
      <c r="J133" s="12" t="s">
        <v>5</v>
      </c>
      <c r="K133" s="12"/>
      <c r="L133" s="12" t="s">
        <v>6</v>
      </c>
      <c r="N133" s="12" t="s">
        <v>5</v>
      </c>
      <c r="O133" s="12"/>
      <c r="P133" s="12" t="s">
        <v>6</v>
      </c>
      <c r="Q133" s="34"/>
      <c r="R133" s="35"/>
      <c r="S133" s="31" t="str">
        <f t="shared" si="2"/>
        <v/>
      </c>
      <c r="T133" s="32"/>
      <c r="V133" s="16" t="str">
        <f>IFERROR(__xludf.DUMMYFUNCTION("IF(ISERROR(INDEX(IFERROR(FILTER(SPLIT($V$1, CHAR(10)), NOT(REGEXMATCH(SPLIT($V$1, CHAR(10)), ""\?|\\"")))), ROW()-ROW($T$1:$T$194))), """", INDEX(IFERROR(FILTER(SPLIT($V$1, CHAR(10)), NOT(REGEXMATCH(SPLIT($V$1, CHAR(10)), ""\?|\\"")))), ROW()-ROW($T$1:$T$"&amp;"300)))"),"")</f>
        <v/>
      </c>
      <c r="W133" s="16">
        <f t="shared" si="1"/>
        <v>263</v>
      </c>
    </row>
    <row r="134">
      <c r="B134" s="19" t="s">
        <v>54</v>
      </c>
      <c r="E134" s="19"/>
      <c r="F134" s="19" t="s">
        <v>137</v>
      </c>
      <c r="I134" s="34"/>
      <c r="J134" s="19" t="s">
        <v>57</v>
      </c>
      <c r="L134" s="19" t="s">
        <v>138</v>
      </c>
      <c r="M134" s="19"/>
      <c r="N134" s="19" t="s">
        <v>139</v>
      </c>
      <c r="O134" s="19"/>
      <c r="P134" s="19" t="s">
        <v>140</v>
      </c>
      <c r="Q134" s="34"/>
      <c r="R134" s="35"/>
      <c r="S134" s="31" t="str">
        <f t="shared" si="2"/>
        <v/>
      </c>
      <c r="T134" s="32"/>
      <c r="V134" s="16" t="str">
        <f>IFERROR(__xludf.DUMMYFUNCTION("IF(ISERROR(INDEX(IFERROR(FILTER(SPLIT($V$1, CHAR(10)), NOT(REGEXMATCH(SPLIT($V$1, CHAR(10)), ""\?|\\"")))), ROW()-ROW($T$1:$T$194))), """", INDEX(IFERROR(FILTER(SPLIT($V$1, CHAR(10)), NOT(REGEXMATCH(SPLIT($V$1, CHAR(10)), ""\?|\\"")))), ROW()-ROW($T$1:$T$"&amp;"300)))"),"")</f>
        <v/>
      </c>
      <c r="W134" s="16">
        <f t="shared" si="1"/>
        <v>263</v>
      </c>
    </row>
    <row r="135">
      <c r="B135" s="19" t="s">
        <v>55</v>
      </c>
      <c r="E135" s="19"/>
      <c r="I135" s="34"/>
      <c r="J135" s="19" t="s">
        <v>141</v>
      </c>
      <c r="M135" s="19"/>
      <c r="N135" s="19" t="s">
        <v>142</v>
      </c>
      <c r="O135" s="19"/>
      <c r="Q135" s="34"/>
      <c r="R135" s="35"/>
      <c r="S135" s="31" t="str">
        <f t="shared" si="2"/>
        <v/>
      </c>
      <c r="T135" s="32"/>
      <c r="V135" s="16" t="str">
        <f>IFERROR(__xludf.DUMMYFUNCTION("IF(ISERROR(INDEX(IFERROR(FILTER(SPLIT($V$1, CHAR(10)), NOT(REGEXMATCH(SPLIT($V$1, CHAR(10)), ""\?|\\"")))), ROW()-ROW($T$1:$T$194))), """", INDEX(IFERROR(FILTER(SPLIT($V$1, CHAR(10)), NOT(REGEXMATCH(SPLIT($V$1, CHAR(10)), ""\?|\\"")))), ROW()-ROW($T$1:$T$"&amp;"300)))"),"")</f>
        <v/>
      </c>
      <c r="W135" s="16">
        <f t="shared" si="1"/>
        <v>263</v>
      </c>
    </row>
    <row r="136">
      <c r="B136" s="19" t="s">
        <v>56</v>
      </c>
      <c r="E136" s="19"/>
      <c r="I136" s="34"/>
      <c r="J136" s="19" t="s">
        <v>143</v>
      </c>
      <c r="M136" s="19"/>
      <c r="N136" s="19" t="s">
        <v>144</v>
      </c>
      <c r="O136" s="19"/>
      <c r="Q136" s="34"/>
      <c r="R136" s="35"/>
      <c r="S136" s="31" t="str">
        <f t="shared" si="2"/>
        <v/>
      </c>
      <c r="T136" s="32"/>
      <c r="V136" s="16" t="str">
        <f>IFERROR(__xludf.DUMMYFUNCTION("IF(ISERROR(INDEX(IFERROR(FILTER(SPLIT($V$1, CHAR(10)), NOT(REGEXMATCH(SPLIT($V$1, CHAR(10)), ""\?|\\"")))), ROW()-ROW($T$1:$T$194))), """", INDEX(IFERROR(FILTER(SPLIT($V$1, CHAR(10)), NOT(REGEXMATCH(SPLIT($V$1, CHAR(10)), ""\?|\\"")))), ROW()-ROW($T$1:$T$"&amp;"300)))"),"")</f>
        <v/>
      </c>
      <c r="W136" s="16">
        <f t="shared" si="1"/>
        <v>263</v>
      </c>
    </row>
    <row r="137">
      <c r="B137" s="19" t="s">
        <v>145</v>
      </c>
      <c r="E137" s="19"/>
      <c r="I137" s="34"/>
      <c r="M137" s="19"/>
      <c r="N137" s="19" t="s">
        <v>146</v>
      </c>
      <c r="O137" s="19"/>
      <c r="Q137" s="34"/>
      <c r="R137" s="35"/>
      <c r="S137" s="31" t="str">
        <f t="shared" si="2"/>
        <v/>
      </c>
      <c r="T137" s="32"/>
      <c r="V137" s="16" t="str">
        <f>IFERROR(__xludf.DUMMYFUNCTION("IF(ISERROR(INDEX(IFERROR(FILTER(SPLIT($V$1, CHAR(10)), NOT(REGEXMATCH(SPLIT($V$1, CHAR(10)), ""\?|\\"")))), ROW()-ROW($T$1:$T$194))), """", INDEX(IFERROR(FILTER(SPLIT($V$1, CHAR(10)), NOT(REGEXMATCH(SPLIT($V$1, CHAR(10)), ""\?|\\"")))), ROW()-ROW($T$1:$T$"&amp;"300)))"),"")</f>
        <v/>
      </c>
      <c r="W137" s="16">
        <f t="shared" si="1"/>
        <v>263</v>
      </c>
    </row>
    <row r="138">
      <c r="E138" s="19"/>
      <c r="I138" s="34"/>
      <c r="M138" s="19"/>
      <c r="N138" s="19" t="s">
        <v>147</v>
      </c>
      <c r="Q138" s="34"/>
      <c r="R138" s="35"/>
      <c r="S138" s="31" t="str">
        <f t="shared" si="2"/>
        <v/>
      </c>
      <c r="T138" s="32"/>
      <c r="V138" s="16" t="str">
        <f>IFERROR(__xludf.DUMMYFUNCTION("IF(ISERROR(INDEX(IFERROR(FILTER(SPLIT($V$1, CHAR(10)), NOT(REGEXMATCH(SPLIT($V$1, CHAR(10)), ""\?|\\"")))), ROW()-ROW($T$1:$T$194))), """", INDEX(IFERROR(FILTER(SPLIT($V$1, CHAR(10)), NOT(REGEXMATCH(SPLIT($V$1, CHAR(10)), ""\?|\\"")))), ROW()-ROW($T$1:$T$"&amp;"300)))"),"")</f>
        <v/>
      </c>
      <c r="W138" s="16">
        <f t="shared" si="1"/>
        <v>263</v>
      </c>
    </row>
    <row r="139">
      <c r="E139" s="19"/>
      <c r="I139" s="34"/>
      <c r="M139" s="19"/>
      <c r="Q139" s="34"/>
      <c r="R139" s="35"/>
      <c r="S139" s="31" t="str">
        <f t="shared" si="2"/>
        <v/>
      </c>
      <c r="T139" s="32"/>
      <c r="V139" s="16" t="str">
        <f>IFERROR(__xludf.DUMMYFUNCTION("IF(ISERROR(INDEX(IFERROR(FILTER(SPLIT($V$1, CHAR(10)), NOT(REGEXMATCH(SPLIT($V$1, CHAR(10)), ""\?|\\"")))), ROW()-ROW($T$1:$T$194))), """", INDEX(IFERROR(FILTER(SPLIT($V$1, CHAR(10)), NOT(REGEXMATCH(SPLIT($V$1, CHAR(10)), ""\?|\\"")))), ROW()-ROW($T$1:$T$"&amp;"300)))"),"")</f>
        <v/>
      </c>
      <c r="W139" s="16">
        <f t="shared" si="1"/>
        <v>263</v>
      </c>
    </row>
    <row r="140">
      <c r="E140" s="19"/>
      <c r="I140" s="34"/>
      <c r="K140" s="19"/>
      <c r="M140" s="19"/>
      <c r="Q140" s="34"/>
      <c r="R140" s="35"/>
      <c r="S140" s="31" t="str">
        <f t="shared" si="2"/>
        <v/>
      </c>
      <c r="T140" s="32"/>
      <c r="V140" s="16" t="str">
        <f>IFERROR(__xludf.DUMMYFUNCTION("IF(ISERROR(INDEX(IFERROR(FILTER(SPLIT($V$1, CHAR(10)), NOT(REGEXMATCH(SPLIT($V$1, CHAR(10)), ""\?|\\"")))), ROW()-ROW($T$1:$T$194))), """", INDEX(IFERROR(FILTER(SPLIT($V$1, CHAR(10)), NOT(REGEXMATCH(SPLIT($V$1, CHAR(10)), ""\?|\\"")))), ROW()-ROW($T$1:$T$"&amp;"300)))"),"")</f>
        <v/>
      </c>
      <c r="W140" s="16">
        <f t="shared" si="1"/>
        <v>263</v>
      </c>
    </row>
    <row r="141">
      <c r="E141" s="19"/>
      <c r="I141" s="34"/>
      <c r="M141" s="19"/>
      <c r="Q141" s="34"/>
      <c r="R141" s="35"/>
      <c r="S141" s="31" t="str">
        <f t="shared" si="2"/>
        <v/>
      </c>
      <c r="T141" s="32"/>
      <c r="V141" s="16" t="str">
        <f>IFERROR(__xludf.DUMMYFUNCTION("IF(ISERROR(INDEX(IFERROR(FILTER(SPLIT($V$1, CHAR(10)), NOT(REGEXMATCH(SPLIT($V$1, CHAR(10)), ""\?|\\"")))), ROW()-ROW($T$1:$T$194))), """", INDEX(IFERROR(FILTER(SPLIT($V$1, CHAR(10)), NOT(REGEXMATCH(SPLIT($V$1, CHAR(10)), ""\?|\\"")))), ROW()-ROW($T$1:$T$"&amp;"300)))"),"")</f>
        <v/>
      </c>
      <c r="W141" s="16">
        <f t="shared" si="1"/>
        <v>263</v>
      </c>
    </row>
    <row r="142">
      <c r="E142" s="19"/>
      <c r="I142" s="34"/>
      <c r="K142" s="19"/>
      <c r="L142" s="19"/>
      <c r="M142" s="19"/>
      <c r="O142" s="19"/>
      <c r="P142" s="19"/>
      <c r="Q142" s="34"/>
      <c r="R142" s="35"/>
      <c r="S142" s="31" t="str">
        <f t="shared" si="2"/>
        <v/>
      </c>
      <c r="T142" s="32"/>
      <c r="V142" s="16" t="str">
        <f>IFERROR(__xludf.DUMMYFUNCTION("IF(ISERROR(INDEX(IFERROR(FILTER(SPLIT($V$1, CHAR(10)), NOT(REGEXMATCH(SPLIT($V$1, CHAR(10)), ""\?|\\"")))), ROW()-ROW($T$1:$T$194))), """", INDEX(IFERROR(FILTER(SPLIT($V$1, CHAR(10)), NOT(REGEXMATCH(SPLIT($V$1, CHAR(10)), ""\?|\\"")))), ROW()-ROW($T$1:$T$"&amp;"300)))"),"")</f>
        <v/>
      </c>
      <c r="W142" s="16">
        <f t="shared" si="1"/>
        <v>263</v>
      </c>
    </row>
    <row r="143">
      <c r="E143" s="19"/>
      <c r="G143" s="19"/>
      <c r="H143" s="19"/>
      <c r="I143" s="34"/>
      <c r="M143" s="19"/>
      <c r="O143" s="19"/>
      <c r="P143" s="19"/>
      <c r="Q143" s="34"/>
      <c r="R143" s="35"/>
      <c r="S143" s="31" t="str">
        <f t="shared" si="2"/>
        <v/>
      </c>
      <c r="T143" s="32"/>
      <c r="V143" s="16" t="str">
        <f>IFERROR(__xludf.DUMMYFUNCTION("IF(ISERROR(INDEX(IFERROR(FILTER(SPLIT($V$1, CHAR(10)), NOT(REGEXMATCH(SPLIT($V$1, CHAR(10)), ""\?|\\"")))), ROW()-ROW($T$1:$T$194))), """", INDEX(IFERROR(FILTER(SPLIT($V$1, CHAR(10)), NOT(REGEXMATCH(SPLIT($V$1, CHAR(10)), ""\?|\\"")))), ROW()-ROW($T$1:$T$"&amp;"300)))"),"")</f>
        <v/>
      </c>
      <c r="W143" s="16">
        <f t="shared" si="1"/>
        <v>263</v>
      </c>
    </row>
    <row r="144">
      <c r="E144" s="19"/>
      <c r="G144" s="19"/>
      <c r="H144" s="19"/>
      <c r="I144" s="34"/>
      <c r="M144" s="19"/>
      <c r="O144" s="19"/>
      <c r="P144" s="19"/>
      <c r="Q144" s="34"/>
      <c r="R144" s="35"/>
      <c r="S144" s="31" t="str">
        <f t="shared" si="2"/>
        <v/>
      </c>
      <c r="T144" s="32"/>
      <c r="V144" s="16" t="str">
        <f>IFERROR(__xludf.DUMMYFUNCTION("IF(ISERROR(INDEX(IFERROR(FILTER(SPLIT($V$1, CHAR(10)), NOT(REGEXMATCH(SPLIT($V$1, CHAR(10)), ""\?|\\"")))), ROW()-ROW($T$1:$T$194))), """", INDEX(IFERROR(FILTER(SPLIT($V$1, CHAR(10)), NOT(REGEXMATCH(SPLIT($V$1, CHAR(10)), ""\?|\\"")))), ROW()-ROW($T$1:$T$"&amp;"300)))"),"")</f>
        <v/>
      </c>
      <c r="W144" s="16">
        <f t="shared" si="1"/>
        <v>263</v>
      </c>
    </row>
    <row r="145">
      <c r="E145" s="19"/>
      <c r="F145" s="19"/>
      <c r="G145" s="19"/>
      <c r="H145" s="19"/>
      <c r="I145" s="34"/>
      <c r="K145" s="19"/>
      <c r="L145" s="19"/>
      <c r="M145" s="19"/>
      <c r="O145" s="19"/>
      <c r="P145" s="19"/>
      <c r="Q145" s="34"/>
      <c r="R145" s="35"/>
      <c r="S145" s="31" t="str">
        <f t="shared" si="2"/>
        <v/>
      </c>
      <c r="T145" s="32"/>
      <c r="V145" s="16" t="str">
        <f>IFERROR(__xludf.DUMMYFUNCTION("IF(ISERROR(INDEX(IFERROR(FILTER(SPLIT($V$1, CHAR(10)), NOT(REGEXMATCH(SPLIT($V$1, CHAR(10)), ""\?|\\"")))), ROW()-ROW($T$1:$T$194))), """", INDEX(IFERROR(FILTER(SPLIT($V$1, CHAR(10)), NOT(REGEXMATCH(SPLIT($V$1, CHAR(10)), ""\?|\\"")))), ROW()-ROW($T$1:$T$"&amp;"300)))"),"")</f>
        <v/>
      </c>
      <c r="W145" s="16">
        <f t="shared" si="1"/>
        <v>263</v>
      </c>
    </row>
    <row r="146">
      <c r="E146" s="19"/>
      <c r="F146" s="19"/>
      <c r="G146" s="19"/>
      <c r="H146" s="19"/>
      <c r="I146" s="34"/>
      <c r="K146" s="19"/>
      <c r="L146" s="19"/>
      <c r="M146" s="19"/>
      <c r="O146" s="19"/>
      <c r="P146" s="19"/>
      <c r="Q146" s="34"/>
      <c r="R146" s="35"/>
      <c r="S146" s="31" t="str">
        <f t="shared" si="2"/>
        <v/>
      </c>
      <c r="T146" s="32"/>
      <c r="V146" s="16" t="str">
        <f>IFERROR(__xludf.DUMMYFUNCTION("IF(ISERROR(INDEX(IFERROR(FILTER(SPLIT($V$1, CHAR(10)), NOT(REGEXMATCH(SPLIT($V$1, CHAR(10)), ""\?|\\"")))), ROW()-ROW($T$1:$T$194))), """", INDEX(IFERROR(FILTER(SPLIT($V$1, CHAR(10)), NOT(REGEXMATCH(SPLIT($V$1, CHAR(10)), ""\?|\\"")))), ROW()-ROW($T$1:$T$"&amp;"300)))"),"")</f>
        <v/>
      </c>
      <c r="W146" s="16">
        <f t="shared" si="1"/>
        <v>263</v>
      </c>
    </row>
    <row r="147">
      <c r="E147" s="19"/>
      <c r="G147" s="19"/>
      <c r="H147" s="19"/>
      <c r="M147" s="19"/>
      <c r="O147" s="19"/>
      <c r="P147" s="19"/>
      <c r="Q147" s="34"/>
      <c r="R147" s="35"/>
      <c r="S147" s="31" t="str">
        <f t="shared" si="2"/>
        <v/>
      </c>
      <c r="T147" s="32"/>
      <c r="V147" s="16" t="str">
        <f>IFERROR(__xludf.DUMMYFUNCTION("IF(ISERROR(INDEX(IFERROR(FILTER(SPLIT($V$1, CHAR(10)), NOT(REGEXMATCH(SPLIT($V$1, CHAR(10)), ""\?|\\"")))), ROW()-ROW($T$1:$T$194))), """", INDEX(IFERROR(FILTER(SPLIT($V$1, CHAR(10)), NOT(REGEXMATCH(SPLIT($V$1, CHAR(10)), ""\?|\\"")))), ROW()-ROW($T$1:$T$"&amp;"300)))"),"")</f>
        <v/>
      </c>
      <c r="W147" s="16">
        <f t="shared" si="1"/>
        <v>263</v>
      </c>
    </row>
    <row r="148">
      <c r="E148" s="19"/>
      <c r="G148" s="19"/>
      <c r="H148" s="19"/>
      <c r="K148" s="19"/>
      <c r="L148" s="19"/>
      <c r="M148" s="19"/>
      <c r="O148" s="19"/>
      <c r="P148" s="19"/>
      <c r="Q148" s="34"/>
      <c r="R148" s="35"/>
      <c r="S148" s="31" t="str">
        <f t="shared" si="2"/>
        <v/>
      </c>
      <c r="T148" s="32"/>
      <c r="V148" s="16" t="str">
        <f>IFERROR(__xludf.DUMMYFUNCTION("IF(ISERROR(INDEX(IFERROR(FILTER(SPLIT($V$1, CHAR(10)), NOT(REGEXMATCH(SPLIT($V$1, CHAR(10)), ""\?|\\"")))), ROW()-ROW($T$1:$T$194))), """", INDEX(IFERROR(FILTER(SPLIT($V$1, CHAR(10)), NOT(REGEXMATCH(SPLIT($V$1, CHAR(10)), ""\?|\\"")))), ROW()-ROW($T$1:$T$"&amp;"300)))"),"")</f>
        <v/>
      </c>
      <c r="W148" s="16">
        <f t="shared" si="1"/>
        <v>263</v>
      </c>
    </row>
    <row r="149">
      <c r="E149" s="19"/>
      <c r="F149" s="19"/>
      <c r="G149" s="19"/>
      <c r="H149" s="19"/>
      <c r="K149" s="19"/>
      <c r="L149" s="19"/>
      <c r="M149" s="19"/>
      <c r="O149" s="19"/>
      <c r="P149" s="19"/>
      <c r="Q149" s="34"/>
      <c r="R149" s="35"/>
      <c r="S149" s="31" t="str">
        <f t="shared" si="2"/>
        <v/>
      </c>
      <c r="T149" s="32"/>
      <c r="V149" s="16" t="str">
        <f>IFERROR(__xludf.DUMMYFUNCTION("IF(ISERROR(INDEX(IFERROR(FILTER(SPLIT($V$1, CHAR(10)), NOT(REGEXMATCH(SPLIT($V$1, CHAR(10)), ""\?|\\"")))), ROW()-ROW($T$1:$T$194))), """", INDEX(IFERROR(FILTER(SPLIT($V$1, CHAR(10)), NOT(REGEXMATCH(SPLIT($V$1, CHAR(10)), ""\?|\\"")))), ROW()-ROW($T$1:$T$"&amp;"300)))"),"")</f>
        <v/>
      </c>
      <c r="W149" s="16">
        <f t="shared" si="1"/>
        <v>263</v>
      </c>
    </row>
    <row r="150">
      <c r="E150" s="19"/>
      <c r="F150" s="19"/>
      <c r="G150" s="19"/>
      <c r="H150" s="19"/>
      <c r="K150" s="19"/>
      <c r="L150" s="19"/>
      <c r="M150" s="19"/>
      <c r="O150" s="19"/>
      <c r="P150" s="19"/>
      <c r="Q150" s="34"/>
      <c r="R150" s="35"/>
      <c r="S150" s="31" t="str">
        <f t="shared" si="2"/>
        <v/>
      </c>
      <c r="T150" s="32"/>
      <c r="V150" s="16" t="str">
        <f>IFERROR(__xludf.DUMMYFUNCTION("IF(ISERROR(INDEX(IFERROR(FILTER(SPLIT($V$1, CHAR(10)), NOT(REGEXMATCH(SPLIT($V$1, CHAR(10)), ""\?|\\"")))), ROW()-ROW($T$1:$T$194))), """", INDEX(IFERROR(FILTER(SPLIT($V$1, CHAR(10)), NOT(REGEXMATCH(SPLIT($V$1, CHAR(10)), ""\?|\\"")))), ROW()-ROW($T$1:$T$"&amp;"300)))"),"")</f>
        <v/>
      </c>
      <c r="W150" s="16">
        <f t="shared" si="1"/>
        <v>263</v>
      </c>
    </row>
    <row r="151">
      <c r="E151" s="19"/>
      <c r="F151" s="19"/>
      <c r="G151" s="19"/>
      <c r="H151" s="19"/>
      <c r="K151" s="19"/>
      <c r="L151" s="19"/>
      <c r="M151" s="19"/>
      <c r="O151" s="19"/>
      <c r="P151" s="19"/>
      <c r="Q151" s="34"/>
      <c r="R151" s="35"/>
      <c r="S151" s="31" t="str">
        <f t="shared" si="2"/>
        <v/>
      </c>
      <c r="T151" s="32"/>
      <c r="V151" s="16" t="str">
        <f>IFERROR(__xludf.DUMMYFUNCTION("IF(ISERROR(INDEX(IFERROR(FILTER(SPLIT($V$1, CHAR(10)), NOT(REGEXMATCH(SPLIT($V$1, CHAR(10)), ""\?|\\"")))), ROW()-ROW($T$1:$T$194))), """", INDEX(IFERROR(FILTER(SPLIT($V$1, CHAR(10)), NOT(REGEXMATCH(SPLIT($V$1, CHAR(10)), ""\?|\\"")))), ROW()-ROW($T$1:$T$"&amp;"300)))"),"")</f>
        <v/>
      </c>
      <c r="W151" s="16">
        <f t="shared" si="1"/>
        <v>263</v>
      </c>
    </row>
    <row r="152">
      <c r="E152" s="19"/>
      <c r="F152" s="19"/>
      <c r="G152" s="19"/>
      <c r="H152" s="19"/>
      <c r="K152" s="19"/>
      <c r="L152" s="19"/>
      <c r="M152" s="19"/>
      <c r="O152" s="19"/>
      <c r="P152" s="19"/>
      <c r="Q152" s="34"/>
      <c r="R152" s="35"/>
      <c r="S152" s="31" t="str">
        <f t="shared" si="2"/>
        <v/>
      </c>
      <c r="T152" s="32"/>
      <c r="V152" s="16" t="str">
        <f>IFERROR(__xludf.DUMMYFUNCTION("IF(ISERROR(INDEX(IFERROR(FILTER(SPLIT($V$1, CHAR(10)), NOT(REGEXMATCH(SPLIT($V$1, CHAR(10)), ""\?|\\"")))), ROW()-ROW($T$1:$T$194))), """", INDEX(IFERROR(FILTER(SPLIT($V$1, CHAR(10)), NOT(REGEXMATCH(SPLIT($V$1, CHAR(10)), ""\?|\\"")))), ROW()-ROW($T$1:$T$"&amp;"300)))"),"")</f>
        <v/>
      </c>
      <c r="W152" s="16">
        <f t="shared" si="1"/>
        <v>263</v>
      </c>
    </row>
    <row r="153">
      <c r="C153" s="19"/>
      <c r="D153" s="19"/>
      <c r="E153" s="19"/>
      <c r="F153" s="19"/>
      <c r="G153" s="19"/>
      <c r="H153" s="19"/>
      <c r="K153" s="19"/>
      <c r="L153" s="19"/>
      <c r="M153" s="19"/>
      <c r="O153" s="19"/>
      <c r="P153" s="19"/>
      <c r="Q153" s="34"/>
      <c r="R153" s="35"/>
      <c r="S153" s="31" t="str">
        <f t="shared" si="2"/>
        <v/>
      </c>
      <c r="T153" s="32"/>
      <c r="V153" s="16" t="str">
        <f>IFERROR(__xludf.DUMMYFUNCTION("IF(ISERROR(INDEX(IFERROR(FILTER(SPLIT($V$1, CHAR(10)), NOT(REGEXMATCH(SPLIT($V$1, CHAR(10)), ""\?|\\"")))), ROW()-ROW($T$1:$T$194))), """", INDEX(IFERROR(FILTER(SPLIT($V$1, CHAR(10)), NOT(REGEXMATCH(SPLIT($V$1, CHAR(10)), ""\?|\\"")))), ROW()-ROW($T$1:$T$"&amp;"300)))"),"")</f>
        <v/>
      </c>
      <c r="W153" s="16">
        <f t="shared" si="1"/>
        <v>263</v>
      </c>
    </row>
    <row r="154">
      <c r="C154" s="19"/>
      <c r="D154" s="19"/>
      <c r="E154" s="19"/>
      <c r="F154" s="19"/>
      <c r="G154" s="19"/>
      <c r="H154" s="19"/>
      <c r="K154" s="19"/>
      <c r="L154" s="19"/>
      <c r="M154" s="19"/>
      <c r="O154" s="19"/>
      <c r="P154" s="19"/>
      <c r="Q154" s="34"/>
      <c r="R154" s="35"/>
      <c r="S154" s="31" t="str">
        <f t="shared" si="2"/>
        <v/>
      </c>
      <c r="T154" s="32"/>
      <c r="V154" s="16" t="str">
        <f>IFERROR(__xludf.DUMMYFUNCTION("IF(ISERROR(INDEX(IFERROR(FILTER(SPLIT($V$1, CHAR(10)), NOT(REGEXMATCH(SPLIT($V$1, CHAR(10)), ""\?|\\"")))), ROW()-ROW($T$1:$T$194))), """", INDEX(IFERROR(FILTER(SPLIT($V$1, CHAR(10)), NOT(REGEXMATCH(SPLIT($V$1, CHAR(10)), ""\?|\\"")))), ROW()-ROW($T$1:$T$"&amp;"300)))"),"")</f>
        <v/>
      </c>
      <c r="W154" s="16">
        <f t="shared" si="1"/>
        <v>263</v>
      </c>
    </row>
    <row r="155">
      <c r="C155" s="19"/>
      <c r="D155" s="19"/>
      <c r="E155" s="19"/>
      <c r="F155" s="19"/>
      <c r="G155" s="19"/>
      <c r="H155" s="19"/>
      <c r="J155" s="19"/>
      <c r="K155" s="19"/>
      <c r="L155" s="19"/>
      <c r="M155" s="19"/>
      <c r="O155" s="19"/>
      <c r="P155" s="19"/>
      <c r="Q155" s="34"/>
      <c r="R155" s="35"/>
      <c r="S155" s="31" t="str">
        <f t="shared" si="2"/>
        <v/>
      </c>
      <c r="T155" s="32"/>
      <c r="V155" s="16" t="str">
        <f>IFERROR(__xludf.DUMMYFUNCTION("IF(ISERROR(INDEX(IFERROR(FILTER(SPLIT($V$1, CHAR(10)), NOT(REGEXMATCH(SPLIT($V$1, CHAR(10)), ""\?|\\"")))), ROW()-ROW($T$1:$T$194))), """", INDEX(IFERROR(FILTER(SPLIT($V$1, CHAR(10)), NOT(REGEXMATCH(SPLIT($V$1, CHAR(10)), ""\?|\\"")))), ROW()-ROW($T$1:$T$"&amp;"300)))"),"")</f>
        <v/>
      </c>
      <c r="W155" s="16">
        <f t="shared" si="1"/>
        <v>263</v>
      </c>
    </row>
    <row r="156">
      <c r="C156" s="19"/>
      <c r="D156" s="19"/>
      <c r="E156" s="19"/>
      <c r="F156" s="19"/>
      <c r="G156" s="19"/>
      <c r="H156" s="19"/>
      <c r="J156" s="19"/>
      <c r="K156" s="19"/>
      <c r="L156" s="19"/>
      <c r="M156" s="19"/>
      <c r="O156" s="19"/>
      <c r="P156" s="19"/>
      <c r="Q156" s="34"/>
      <c r="R156" s="35"/>
      <c r="S156" s="31" t="str">
        <f t="shared" si="2"/>
        <v/>
      </c>
      <c r="T156" s="32"/>
      <c r="V156" s="16" t="str">
        <f>IFERROR(__xludf.DUMMYFUNCTION("IF(ISERROR(INDEX(IFERROR(FILTER(SPLIT($V$1, CHAR(10)), NOT(REGEXMATCH(SPLIT($V$1, CHAR(10)), ""\?|\\"")))), ROW()-ROW($T$1:$T$194))), """", INDEX(IFERROR(FILTER(SPLIT($V$1, CHAR(10)), NOT(REGEXMATCH(SPLIT($V$1, CHAR(10)), ""\?|\\"")))), ROW()-ROW($T$1:$T$"&amp;"300)))"),"")</f>
        <v/>
      </c>
      <c r="W156" s="16">
        <f t="shared" si="1"/>
        <v>263</v>
      </c>
    </row>
    <row r="157">
      <c r="C157" s="19"/>
      <c r="D157" s="19"/>
      <c r="E157" s="19"/>
      <c r="F157" s="19"/>
      <c r="G157" s="19"/>
      <c r="H157" s="19"/>
      <c r="J157" s="19"/>
      <c r="K157" s="19"/>
      <c r="L157" s="19"/>
      <c r="M157" s="19"/>
      <c r="N157" s="19"/>
      <c r="O157" s="19"/>
      <c r="P157" s="19"/>
      <c r="Q157" s="34"/>
      <c r="R157" s="35"/>
      <c r="S157" s="31" t="str">
        <f t="shared" si="2"/>
        <v/>
      </c>
      <c r="T157" s="32"/>
      <c r="V157" s="16" t="str">
        <f>IFERROR(__xludf.DUMMYFUNCTION("IF(ISERROR(INDEX(IFERROR(FILTER(SPLIT($V$1, CHAR(10)), NOT(REGEXMATCH(SPLIT($V$1, CHAR(10)), ""\?|\\"")))), ROW()-ROW($T$1:$T$194))), """", INDEX(IFERROR(FILTER(SPLIT($V$1, CHAR(10)), NOT(REGEXMATCH(SPLIT($V$1, CHAR(10)), ""\?|\\"")))), ROW()-ROW($T$1:$T$"&amp;"300)))"),"")</f>
        <v/>
      </c>
      <c r="W157" s="16">
        <f t="shared" si="1"/>
        <v>263</v>
      </c>
    </row>
    <row r="158">
      <c r="C158" s="19"/>
      <c r="D158" s="19"/>
      <c r="E158" s="19"/>
      <c r="F158" s="19"/>
      <c r="G158" s="19"/>
      <c r="H158" s="19"/>
      <c r="J158" s="19"/>
      <c r="K158" s="19"/>
      <c r="L158" s="19"/>
      <c r="M158" s="19"/>
      <c r="O158" s="19"/>
      <c r="P158" s="19"/>
      <c r="Q158" s="34"/>
      <c r="R158" s="35"/>
      <c r="S158" s="31" t="str">
        <f t="shared" si="2"/>
        <v/>
      </c>
      <c r="T158" s="32"/>
      <c r="V158" s="16" t="str">
        <f>IFERROR(__xludf.DUMMYFUNCTION("IF(ISERROR(INDEX(IFERROR(FILTER(SPLIT($V$1, CHAR(10)), NOT(REGEXMATCH(SPLIT($V$1, CHAR(10)), ""\?|\\"")))), ROW()-ROW($T$1:$T$194))), """", INDEX(IFERROR(FILTER(SPLIT($V$1, CHAR(10)), NOT(REGEXMATCH(SPLIT($V$1, CHAR(10)), ""\?|\\"")))), ROW()-ROW($T$1:$T$"&amp;"300)))"),"")</f>
        <v/>
      </c>
      <c r="W158" s="16">
        <f t="shared" si="1"/>
        <v>263</v>
      </c>
    </row>
    <row r="159">
      <c r="C159" s="34"/>
      <c r="D159" s="34"/>
      <c r="E159" s="34"/>
      <c r="F159" s="19"/>
      <c r="G159" s="34"/>
      <c r="H159" s="34"/>
      <c r="K159" s="34"/>
      <c r="L159" s="34"/>
      <c r="M159" s="34"/>
      <c r="N159" s="34"/>
      <c r="O159" s="34"/>
      <c r="P159" s="34"/>
      <c r="Q159" s="34"/>
      <c r="R159" s="35"/>
      <c r="S159" s="31" t="str">
        <f t="shared" si="2"/>
        <v/>
      </c>
      <c r="T159" s="32"/>
      <c r="V159" s="16" t="str">
        <f>IFERROR(__xludf.DUMMYFUNCTION("IF(ISERROR(INDEX(IFERROR(FILTER(SPLIT($V$1, CHAR(10)), NOT(REGEXMATCH(SPLIT($V$1, CHAR(10)), ""\?|\\"")))), ROW()-ROW($T$1:$T$194))), """", INDEX(IFERROR(FILTER(SPLIT($V$1, CHAR(10)), NOT(REGEXMATCH(SPLIT($V$1, CHAR(10)), ""\?|\\"")))), ROW()-ROW($T$1:$T$"&amp;"300)))"),"")</f>
        <v/>
      </c>
      <c r="W159" s="16">
        <f t="shared" si="1"/>
        <v>263</v>
      </c>
    </row>
    <row r="160">
      <c r="B160" s="49"/>
      <c r="C160" s="49"/>
      <c r="D160" s="49"/>
      <c r="E160" s="49"/>
      <c r="F160" s="50"/>
      <c r="G160" s="49"/>
      <c r="H160" s="49"/>
      <c r="I160" s="49"/>
      <c r="J160" s="49"/>
      <c r="K160" s="49"/>
      <c r="L160" s="49"/>
      <c r="M160" s="49"/>
      <c r="N160" s="49"/>
      <c r="O160" s="49"/>
      <c r="P160" s="49"/>
      <c r="Q160" s="34"/>
      <c r="R160" s="35"/>
      <c r="S160" s="31" t="str">
        <f t="shared" si="2"/>
        <v/>
      </c>
      <c r="T160" s="32"/>
      <c r="V160" s="16" t="str">
        <f>IFERROR(__xludf.DUMMYFUNCTION("IF(ISERROR(INDEX(IFERROR(FILTER(SPLIT($V$1, CHAR(10)), NOT(REGEXMATCH(SPLIT($V$1, CHAR(10)), ""\?|\\"")))), ROW()-ROW($T$1:$T$194))), """", INDEX(IFERROR(FILTER(SPLIT($V$1, CHAR(10)), NOT(REGEXMATCH(SPLIT($V$1, CHAR(10)), ""\?|\\"")))), ROW()-ROW($T$1:$T$"&amp;"300)))"),"")</f>
        <v/>
      </c>
      <c r="W160" s="16">
        <f t="shared" si="1"/>
        <v>263</v>
      </c>
    </row>
    <row r="161">
      <c r="B161" s="19"/>
      <c r="Q161" s="34"/>
      <c r="R161" s="35"/>
      <c r="S161" s="31" t="str">
        <f t="shared" si="2"/>
        <v/>
      </c>
      <c r="T161" s="32"/>
      <c r="V161" s="16" t="str">
        <f>IFERROR(__xludf.DUMMYFUNCTION("IF(ISERROR(INDEX(IFERROR(FILTER(SPLIT($V$1, CHAR(10)), NOT(REGEXMATCH(SPLIT($V$1, CHAR(10)), ""\?|\\"")))), ROW()-ROW($T$1:$T$194))), """", INDEX(IFERROR(FILTER(SPLIT($V$1, CHAR(10)), NOT(REGEXMATCH(SPLIT($V$1, CHAR(10)), ""\?|\\"")))), ROW()-ROW($T$1:$T$"&amp;"300)))"),"")</f>
        <v/>
      </c>
      <c r="W161" s="16">
        <f t="shared" si="1"/>
        <v>263</v>
      </c>
    </row>
    <row r="162">
      <c r="Q162" s="34"/>
      <c r="R162" s="35"/>
      <c r="S162" s="31" t="str">
        <f t="shared" si="2"/>
        <v/>
      </c>
      <c r="T162" s="32"/>
      <c r="V162" s="16" t="str">
        <f>IFERROR(__xludf.DUMMYFUNCTION("IF(ISERROR(INDEX(IFERROR(FILTER(SPLIT($V$1, CHAR(10)), NOT(REGEXMATCH(SPLIT($V$1, CHAR(10)), ""\?|\\"")))), ROW()-ROW($T$1:$T$194))), """", INDEX(IFERROR(FILTER(SPLIT($V$1, CHAR(10)), NOT(REGEXMATCH(SPLIT($V$1, CHAR(10)), ""\?|\\"")))), ROW()-ROW($T$1:$T$"&amp;"300)))"),"")</f>
        <v/>
      </c>
      <c r="W162" s="16">
        <f t="shared" si="1"/>
        <v>263</v>
      </c>
    </row>
    <row r="163">
      <c r="F163" s="19"/>
      <c r="Q163" s="34"/>
      <c r="R163" s="35"/>
      <c r="S163" s="31" t="str">
        <f t="shared" si="2"/>
        <v/>
      </c>
      <c r="T163" s="32"/>
      <c r="V163" s="16" t="str">
        <f>IFERROR(__xludf.DUMMYFUNCTION("IF(ISERROR(INDEX(IFERROR(FILTER(SPLIT($V$1, CHAR(10)), NOT(REGEXMATCH(SPLIT($V$1, CHAR(10)), ""\?|\\"")))), ROW()-ROW($T$1:$T$194))), """", INDEX(IFERROR(FILTER(SPLIT($V$1, CHAR(10)), NOT(REGEXMATCH(SPLIT($V$1, CHAR(10)), ""\?|\\"")))), ROW()-ROW($T$1:$T$"&amp;"300)))"),"")</f>
        <v/>
      </c>
      <c r="W163" s="16">
        <f t="shared" si="1"/>
        <v>263</v>
      </c>
    </row>
    <row r="164">
      <c r="Q164" s="34"/>
      <c r="R164" s="35"/>
      <c r="S164" s="31" t="str">
        <f t="shared" si="2"/>
        <v/>
      </c>
      <c r="T164" s="32"/>
      <c r="V164" s="16" t="str">
        <f>IFERROR(__xludf.DUMMYFUNCTION("IF(ISERROR(INDEX(IFERROR(FILTER(SPLIT($V$1, CHAR(10)), NOT(REGEXMATCH(SPLIT($V$1, CHAR(10)), ""\?|\\"")))), ROW()-ROW($T$1:$T$194))), """", INDEX(IFERROR(FILTER(SPLIT($V$1, CHAR(10)), NOT(REGEXMATCH(SPLIT($V$1, CHAR(10)), ""\?|\\"")))), ROW()-ROW($T$1:$T$"&amp;"300)))"),"")</f>
        <v/>
      </c>
      <c r="W164" s="16">
        <f t="shared" si="1"/>
        <v>263</v>
      </c>
    </row>
    <row r="165">
      <c r="B165" s="19"/>
      <c r="F165" s="19"/>
      <c r="Q165" s="34"/>
      <c r="R165" s="35"/>
      <c r="S165" s="31" t="str">
        <f t="shared" si="2"/>
        <v/>
      </c>
      <c r="T165" s="32"/>
      <c r="V165" s="16" t="str">
        <f>IFERROR(__xludf.DUMMYFUNCTION("IF(ISERROR(INDEX(IFERROR(FILTER(SPLIT($V$1, CHAR(10)), NOT(REGEXMATCH(SPLIT($V$1, CHAR(10)), ""\?|\\"")))), ROW()-ROW($T$1:$T$194))), """", INDEX(IFERROR(FILTER(SPLIT($V$1, CHAR(10)), NOT(REGEXMATCH(SPLIT($V$1, CHAR(10)), ""\?|\\"")))), ROW()-ROW($T$1:$T$"&amp;"300)))"),"")</f>
        <v/>
      </c>
      <c r="W165" s="16">
        <f t="shared" si="1"/>
        <v>263</v>
      </c>
    </row>
    <row r="166">
      <c r="Q166" s="34"/>
      <c r="R166" s="35"/>
      <c r="S166" s="31" t="str">
        <f t="shared" si="2"/>
        <v/>
      </c>
      <c r="T166" s="32"/>
      <c r="V166" s="16" t="str">
        <f>IFERROR(__xludf.DUMMYFUNCTION("IF(ISERROR(INDEX(IFERROR(FILTER(SPLIT($V$1, CHAR(10)), NOT(REGEXMATCH(SPLIT($V$1, CHAR(10)), ""\?|\\"")))), ROW()-ROW($T$1:$T$194))), """", INDEX(IFERROR(FILTER(SPLIT($V$1, CHAR(10)), NOT(REGEXMATCH(SPLIT($V$1, CHAR(10)), ""\?|\\"")))), ROW()-ROW($T$1:$T$"&amp;"300)))"),"")</f>
        <v/>
      </c>
      <c r="W166" s="16">
        <f t="shared" si="1"/>
        <v>263</v>
      </c>
    </row>
    <row r="167">
      <c r="Q167" s="34"/>
      <c r="R167" s="35"/>
      <c r="S167" s="31" t="str">
        <f t="shared" si="2"/>
        <v/>
      </c>
      <c r="T167" s="32"/>
      <c r="V167" s="16" t="str">
        <f>IFERROR(__xludf.DUMMYFUNCTION("IF(ISERROR(INDEX(IFERROR(FILTER(SPLIT($V$1, CHAR(10)), NOT(REGEXMATCH(SPLIT($V$1, CHAR(10)), ""\?|\\"")))), ROW()-ROW($T$1:$T$194))), """", INDEX(IFERROR(FILTER(SPLIT($V$1, CHAR(10)), NOT(REGEXMATCH(SPLIT($V$1, CHAR(10)), ""\?|\\"")))), ROW()-ROW($T$1:$T$"&amp;"300)))"),"")</f>
        <v/>
      </c>
      <c r="W167" s="16">
        <f t="shared" si="1"/>
        <v>263</v>
      </c>
    </row>
    <row r="168">
      <c r="Q168" s="34"/>
      <c r="R168" s="35"/>
      <c r="S168" s="31" t="str">
        <f t="shared" si="2"/>
        <v/>
      </c>
      <c r="T168" s="32"/>
      <c r="V168" s="16" t="str">
        <f>IFERROR(__xludf.DUMMYFUNCTION("IF(ISERROR(INDEX(IFERROR(FILTER(SPLIT($V$1, CHAR(10)), NOT(REGEXMATCH(SPLIT($V$1, CHAR(10)), ""\?|\\"")))), ROW()-ROW($T$1:$T$194))), """", INDEX(IFERROR(FILTER(SPLIT($V$1, CHAR(10)), NOT(REGEXMATCH(SPLIT($V$1, CHAR(10)), ""\?|\\"")))), ROW()-ROW($T$1:$T$"&amp;"300)))"),"")</f>
        <v/>
      </c>
      <c r="W168" s="16">
        <f t="shared" si="1"/>
        <v>263</v>
      </c>
    </row>
    <row r="169">
      <c r="Q169" s="34"/>
      <c r="R169" s="35"/>
      <c r="S169" s="31" t="str">
        <f t="shared" si="2"/>
        <v/>
      </c>
      <c r="T169" s="32"/>
      <c r="V169" s="16" t="str">
        <f>IFERROR(__xludf.DUMMYFUNCTION("IF(ISERROR(INDEX(IFERROR(FILTER(SPLIT($V$1, CHAR(10)), NOT(REGEXMATCH(SPLIT($V$1, CHAR(10)), ""\?|\\"")))), ROW()-ROW($T$1:$T$194))), """", INDEX(IFERROR(FILTER(SPLIT($V$1, CHAR(10)), NOT(REGEXMATCH(SPLIT($V$1, CHAR(10)), ""\?|\\"")))), ROW()-ROW($T$1:$T$"&amp;"300)))"),"")</f>
        <v/>
      </c>
      <c r="W169" s="16">
        <f t="shared" si="1"/>
        <v>263</v>
      </c>
    </row>
    <row r="170">
      <c r="Q170" s="34"/>
      <c r="R170" s="35"/>
      <c r="S170" s="31" t="str">
        <f t="shared" si="2"/>
        <v/>
      </c>
      <c r="T170" s="32"/>
      <c r="V170" s="16" t="str">
        <f>IFERROR(__xludf.DUMMYFUNCTION("IF(ISERROR(INDEX(IFERROR(FILTER(SPLIT($V$1, CHAR(10)), NOT(REGEXMATCH(SPLIT($V$1, CHAR(10)), ""\?|\\"")))), ROW()-ROW($T$1:$T$194))), """", INDEX(IFERROR(FILTER(SPLIT($V$1, CHAR(10)), NOT(REGEXMATCH(SPLIT($V$1, CHAR(10)), ""\?|\\"")))), ROW()-ROW($T$1:$T$"&amp;"300)))"),"")</f>
        <v/>
      </c>
      <c r="W170" s="16">
        <f t="shared" si="1"/>
        <v>263</v>
      </c>
    </row>
    <row r="171">
      <c r="Q171" s="34"/>
      <c r="R171" s="35"/>
      <c r="S171" s="31" t="str">
        <f t="shared" si="2"/>
        <v/>
      </c>
      <c r="T171" s="32"/>
      <c r="V171" s="16" t="str">
        <f>IFERROR(__xludf.DUMMYFUNCTION("IF(ISERROR(INDEX(IFERROR(FILTER(SPLIT($V$1, CHAR(10)), NOT(REGEXMATCH(SPLIT($V$1, CHAR(10)), ""\?|\\"")))), ROW()-ROW($T$1:$T$194))), """", INDEX(IFERROR(FILTER(SPLIT($V$1, CHAR(10)), NOT(REGEXMATCH(SPLIT($V$1, CHAR(10)), ""\?|\\"")))), ROW()-ROW($T$1:$T$"&amp;"300)))"),"")</f>
        <v/>
      </c>
      <c r="W171" s="16">
        <f t="shared" si="1"/>
        <v>263</v>
      </c>
    </row>
    <row r="172">
      <c r="Q172" s="34"/>
      <c r="R172" s="35"/>
      <c r="S172" s="31" t="str">
        <f t="shared" si="2"/>
        <v/>
      </c>
      <c r="T172" s="32"/>
      <c r="V172" s="16" t="str">
        <f>IFERROR(__xludf.DUMMYFUNCTION("IF(ISERROR(INDEX(IFERROR(FILTER(SPLIT($V$1, CHAR(10)), NOT(REGEXMATCH(SPLIT($V$1, CHAR(10)), ""\?|\\"")))), ROW()-ROW($T$1:$T$194))), """", INDEX(IFERROR(FILTER(SPLIT($V$1, CHAR(10)), NOT(REGEXMATCH(SPLIT($V$1, CHAR(10)), ""\?|\\"")))), ROW()-ROW($T$1:$T$"&amp;"300)))"),"")</f>
        <v/>
      </c>
      <c r="W172" s="16">
        <f t="shared" si="1"/>
        <v>263</v>
      </c>
    </row>
    <row r="173">
      <c r="Q173" s="34"/>
      <c r="R173" s="35"/>
      <c r="S173" s="31" t="str">
        <f t="shared" si="2"/>
        <v/>
      </c>
      <c r="T173" s="32"/>
      <c r="V173" s="16" t="str">
        <f>IFERROR(__xludf.DUMMYFUNCTION("IF(ISERROR(INDEX(IFERROR(FILTER(SPLIT($V$1, CHAR(10)), NOT(REGEXMATCH(SPLIT($V$1, CHAR(10)), ""\?|\\"")))), ROW()-ROW($T$1:$T$194))), """", INDEX(IFERROR(FILTER(SPLIT($V$1, CHAR(10)), NOT(REGEXMATCH(SPLIT($V$1, CHAR(10)), ""\?|\\"")))), ROW()-ROW($T$1:$T$"&amp;"300)))"),"")</f>
        <v/>
      </c>
      <c r="W173" s="16">
        <f t="shared" si="1"/>
        <v>263</v>
      </c>
    </row>
    <row r="174">
      <c r="Q174" s="34"/>
      <c r="R174" s="35"/>
      <c r="S174" s="31" t="str">
        <f t="shared" si="2"/>
        <v/>
      </c>
      <c r="T174" s="32"/>
      <c r="V174" s="16" t="str">
        <f>IFERROR(__xludf.DUMMYFUNCTION("IF(ISERROR(INDEX(IFERROR(FILTER(SPLIT($V$1, CHAR(10)), NOT(REGEXMATCH(SPLIT($V$1, CHAR(10)), ""\?|\\"")))), ROW()-ROW($T$1:$T$194))), """", INDEX(IFERROR(FILTER(SPLIT($V$1, CHAR(10)), NOT(REGEXMATCH(SPLIT($V$1, CHAR(10)), ""\?|\\"")))), ROW()-ROW($T$1:$T$"&amp;"300)))"),"")</f>
        <v/>
      </c>
      <c r="W174" s="16">
        <f t="shared" si="1"/>
        <v>263</v>
      </c>
    </row>
    <row r="175">
      <c r="Q175" s="34"/>
      <c r="R175" s="35"/>
      <c r="S175" s="31" t="str">
        <f t="shared" si="2"/>
        <v/>
      </c>
      <c r="T175" s="32"/>
      <c r="V175" s="16" t="str">
        <f>IFERROR(__xludf.DUMMYFUNCTION("IF(ISERROR(INDEX(IFERROR(FILTER(SPLIT($V$1, CHAR(10)), NOT(REGEXMATCH(SPLIT($V$1, CHAR(10)), ""\?|\\"")))), ROW()-ROW($T$1:$T$194))), """", INDEX(IFERROR(FILTER(SPLIT($V$1, CHAR(10)), NOT(REGEXMATCH(SPLIT($V$1, CHAR(10)), ""\?|\\"")))), ROW()-ROW($T$1:$T$"&amp;"300)))"),"")</f>
        <v/>
      </c>
      <c r="W175" s="16">
        <f t="shared" si="1"/>
        <v>263</v>
      </c>
    </row>
    <row r="176">
      <c r="Q176" s="34"/>
      <c r="R176" s="35"/>
      <c r="S176" s="31" t="str">
        <f t="shared" si="2"/>
        <v/>
      </c>
      <c r="T176" s="32"/>
      <c r="V176" s="16" t="str">
        <f>IFERROR(__xludf.DUMMYFUNCTION("IF(ISERROR(INDEX(IFERROR(FILTER(SPLIT($V$1, CHAR(10)), NOT(REGEXMATCH(SPLIT($V$1, CHAR(10)), ""\?|\\"")))), ROW()-ROW($T$1:$T$194))), """", INDEX(IFERROR(FILTER(SPLIT($V$1, CHAR(10)), NOT(REGEXMATCH(SPLIT($V$1, CHAR(10)), ""\?|\\"")))), ROW()-ROW($T$1:$T$"&amp;"300)))"),"")</f>
        <v/>
      </c>
      <c r="W176" s="16">
        <f t="shared" si="1"/>
        <v>263</v>
      </c>
    </row>
    <row r="177">
      <c r="Q177" s="34"/>
      <c r="R177" s="35"/>
      <c r="S177" s="31" t="str">
        <f t="shared" si="2"/>
        <v/>
      </c>
      <c r="T177" s="32"/>
      <c r="V177" s="16" t="str">
        <f>IFERROR(__xludf.DUMMYFUNCTION("IF(ISERROR(INDEX(IFERROR(FILTER(SPLIT($V$1, CHAR(10)), NOT(REGEXMATCH(SPLIT($V$1, CHAR(10)), ""\?|\\"")))), ROW()-ROW($T$1:$T$194))), """", INDEX(IFERROR(FILTER(SPLIT($V$1, CHAR(10)), NOT(REGEXMATCH(SPLIT($V$1, CHAR(10)), ""\?|\\"")))), ROW()-ROW($T$1:$T$"&amp;"300)))"),"")</f>
        <v/>
      </c>
      <c r="W177" s="16">
        <f t="shared" si="1"/>
        <v>263</v>
      </c>
    </row>
    <row r="178">
      <c r="Q178" s="34"/>
      <c r="R178" s="35"/>
      <c r="S178" s="31" t="str">
        <f t="shared" si="2"/>
        <v/>
      </c>
      <c r="T178" s="32"/>
      <c r="V178" s="16" t="str">
        <f>IFERROR(__xludf.DUMMYFUNCTION("IF(ISERROR(INDEX(IFERROR(FILTER(SPLIT($V$1, CHAR(10)), NOT(REGEXMATCH(SPLIT($V$1, CHAR(10)), ""\?|\\"")))), ROW()-ROW($T$1:$T$194))), """", INDEX(IFERROR(FILTER(SPLIT($V$1, CHAR(10)), NOT(REGEXMATCH(SPLIT($V$1, CHAR(10)), ""\?|\\"")))), ROW()-ROW($T$1:$T$"&amp;"300)))"),"")</f>
        <v/>
      </c>
      <c r="W178" s="16">
        <f t="shared" si="1"/>
        <v>263</v>
      </c>
    </row>
    <row r="179">
      <c r="Q179" s="34"/>
      <c r="R179" s="35"/>
      <c r="S179" s="31" t="str">
        <f t="shared" si="2"/>
        <v/>
      </c>
      <c r="T179" s="32"/>
      <c r="V179" s="16" t="str">
        <f>IFERROR(__xludf.DUMMYFUNCTION("IF(ISERROR(INDEX(IFERROR(FILTER(SPLIT($V$1, CHAR(10)), NOT(REGEXMATCH(SPLIT($V$1, CHAR(10)), ""\?|\\"")))), ROW()-ROW($T$1:$T$194))), """", INDEX(IFERROR(FILTER(SPLIT($V$1, CHAR(10)), NOT(REGEXMATCH(SPLIT($V$1, CHAR(10)), ""\?|\\"")))), ROW()-ROW($T$1:$T$"&amp;"300)))"),"")</f>
        <v/>
      </c>
      <c r="W179" s="16">
        <f t="shared" si="1"/>
        <v>263</v>
      </c>
    </row>
    <row r="180">
      <c r="Q180" s="34"/>
      <c r="R180" s="35"/>
      <c r="S180" s="31" t="str">
        <f t="shared" si="2"/>
        <v/>
      </c>
      <c r="T180" s="32"/>
      <c r="V180" s="16" t="str">
        <f>IFERROR(__xludf.DUMMYFUNCTION("IF(ISERROR(INDEX(IFERROR(FILTER(SPLIT($V$1, CHAR(10)), NOT(REGEXMATCH(SPLIT($V$1, CHAR(10)), ""\?|\\"")))), ROW()-ROW($T$1:$T$194))), """", INDEX(IFERROR(FILTER(SPLIT($V$1, CHAR(10)), NOT(REGEXMATCH(SPLIT($V$1, CHAR(10)), ""\?|\\"")))), ROW()-ROW($T$1:$T$"&amp;"300)))"),"")</f>
        <v/>
      </c>
      <c r="W180" s="16">
        <f t="shared" si="1"/>
        <v>263</v>
      </c>
    </row>
    <row r="181">
      <c r="Q181" s="34"/>
      <c r="R181" s="35"/>
      <c r="S181" s="31" t="str">
        <f t="shared" si="2"/>
        <v/>
      </c>
      <c r="T181" s="32"/>
      <c r="V181" s="16" t="str">
        <f>IFERROR(__xludf.DUMMYFUNCTION("IF(ISERROR(INDEX(IFERROR(FILTER(SPLIT($V$1, CHAR(10)), NOT(REGEXMATCH(SPLIT($V$1, CHAR(10)), ""\?|\\"")))), ROW()-ROW($T$1:$T$194))), """", INDEX(IFERROR(FILTER(SPLIT($V$1, CHAR(10)), NOT(REGEXMATCH(SPLIT($V$1, CHAR(10)), ""\?|\\"")))), ROW()-ROW($T$1:$T$"&amp;"300)))"),"")</f>
        <v/>
      </c>
      <c r="W181" s="16">
        <f t="shared" si="1"/>
        <v>263</v>
      </c>
    </row>
    <row r="182">
      <c r="Q182" s="34"/>
      <c r="R182" s="35"/>
      <c r="S182" s="31" t="str">
        <f t="shared" si="2"/>
        <v/>
      </c>
      <c r="T182" s="32"/>
      <c r="V182" s="16" t="str">
        <f>IFERROR(__xludf.DUMMYFUNCTION("IF(ISERROR(INDEX(IFERROR(FILTER(SPLIT($V$1, CHAR(10)), NOT(REGEXMATCH(SPLIT($V$1, CHAR(10)), ""\?|\\"")))), ROW()-ROW($T$1:$T$194))), """", INDEX(IFERROR(FILTER(SPLIT($V$1, CHAR(10)), NOT(REGEXMATCH(SPLIT($V$1, CHAR(10)), ""\?|\\"")))), ROW()-ROW($T$1:$T$"&amp;"300)))"),"")</f>
        <v/>
      </c>
      <c r="W182" s="16">
        <f t="shared" si="1"/>
        <v>263</v>
      </c>
    </row>
    <row r="183">
      <c r="Q183" s="34"/>
      <c r="R183" s="35"/>
      <c r="S183" s="31" t="str">
        <f t="shared" si="2"/>
        <v/>
      </c>
      <c r="T183" s="32"/>
      <c r="V183" s="16" t="str">
        <f>IFERROR(__xludf.DUMMYFUNCTION("IF(ISERROR(INDEX(IFERROR(FILTER(SPLIT($V$1, CHAR(10)), NOT(REGEXMATCH(SPLIT($V$1, CHAR(10)), ""\?|\\"")))), ROW()-ROW($T$1:$T$194))), """", INDEX(IFERROR(FILTER(SPLIT($V$1, CHAR(10)), NOT(REGEXMATCH(SPLIT($V$1, CHAR(10)), ""\?|\\"")))), ROW()-ROW($T$1:$T$"&amp;"300)))"),"")</f>
        <v/>
      </c>
      <c r="W183" s="16">
        <f t="shared" si="1"/>
        <v>263</v>
      </c>
    </row>
    <row r="184">
      <c r="Q184" s="34"/>
      <c r="R184" s="35"/>
      <c r="S184" s="31" t="str">
        <f t="shared" si="2"/>
        <v/>
      </c>
      <c r="T184" s="32"/>
      <c r="V184" s="16" t="str">
        <f>IFERROR(__xludf.DUMMYFUNCTION("IF(ISERROR(INDEX(IFERROR(FILTER(SPLIT($V$1, CHAR(10)), NOT(REGEXMATCH(SPLIT($V$1, CHAR(10)), ""\?|\\"")))), ROW()-ROW($T$1:$T$194))), """", INDEX(IFERROR(FILTER(SPLIT($V$1, CHAR(10)), NOT(REGEXMATCH(SPLIT($V$1, CHAR(10)), ""\?|\\"")))), ROW()-ROW($T$1:$T$"&amp;"300)))"),"")</f>
        <v/>
      </c>
      <c r="W184" s="16">
        <f t="shared" si="1"/>
        <v>263</v>
      </c>
    </row>
    <row r="185">
      <c r="Q185" s="34"/>
      <c r="R185" s="35"/>
      <c r="S185" s="31" t="str">
        <f t="shared" si="2"/>
        <v/>
      </c>
      <c r="T185" s="32"/>
      <c r="V185" s="16" t="str">
        <f>IFERROR(__xludf.DUMMYFUNCTION("IF(ISERROR(INDEX(IFERROR(FILTER(SPLIT($V$1, CHAR(10)), NOT(REGEXMATCH(SPLIT($V$1, CHAR(10)), ""\?|\\"")))), ROW()-ROW($T$1:$T$194))), """", INDEX(IFERROR(FILTER(SPLIT($V$1, CHAR(10)), NOT(REGEXMATCH(SPLIT($V$1, CHAR(10)), ""\?|\\"")))), ROW()-ROW($T$1:$T$"&amp;"300)))"),"")</f>
        <v/>
      </c>
      <c r="W185" s="16">
        <f t="shared" si="1"/>
        <v>263</v>
      </c>
    </row>
    <row r="186">
      <c r="Q186" s="34"/>
      <c r="R186" s="35"/>
      <c r="S186" s="31" t="str">
        <f t="shared" si="2"/>
        <v/>
      </c>
      <c r="T186" s="32"/>
      <c r="V186" s="16" t="str">
        <f>IFERROR(__xludf.DUMMYFUNCTION("IF(ISERROR(INDEX(IFERROR(FILTER(SPLIT($V$1, CHAR(10)), NOT(REGEXMATCH(SPLIT($V$1, CHAR(10)), ""\?|\\"")))), ROW()-ROW($T$1:$T$194))), """", INDEX(IFERROR(FILTER(SPLIT($V$1, CHAR(10)), NOT(REGEXMATCH(SPLIT($V$1, CHAR(10)), ""\?|\\"")))), ROW()-ROW($T$1:$T$"&amp;"300)))"),"")</f>
        <v/>
      </c>
      <c r="W186" s="16">
        <f t="shared" si="1"/>
        <v>263</v>
      </c>
    </row>
    <row r="187">
      <c r="Q187" s="34"/>
      <c r="R187" s="35"/>
      <c r="S187" s="31" t="str">
        <f t="shared" si="2"/>
        <v/>
      </c>
      <c r="T187" s="32"/>
      <c r="V187" s="16" t="str">
        <f>IFERROR(__xludf.DUMMYFUNCTION("IF(ISERROR(INDEX(IFERROR(FILTER(SPLIT($V$1, CHAR(10)), NOT(REGEXMATCH(SPLIT($V$1, CHAR(10)), ""\?|\\"")))), ROW()-ROW($T$1:$T$194))), """", INDEX(IFERROR(FILTER(SPLIT($V$1, CHAR(10)), NOT(REGEXMATCH(SPLIT($V$1, CHAR(10)), ""\?|\\"")))), ROW()-ROW($T$1:$T$"&amp;"300)))"),"")</f>
        <v/>
      </c>
      <c r="W187" s="16">
        <f t="shared" si="1"/>
        <v>263</v>
      </c>
    </row>
    <row r="188">
      <c r="Q188" s="34"/>
      <c r="R188" s="35"/>
      <c r="S188" s="31" t="str">
        <f t="shared" si="2"/>
        <v/>
      </c>
      <c r="T188" s="32"/>
      <c r="V188" s="16" t="str">
        <f>IFERROR(__xludf.DUMMYFUNCTION("IF(ISERROR(INDEX(IFERROR(FILTER(SPLIT($V$1, CHAR(10)), NOT(REGEXMATCH(SPLIT($V$1, CHAR(10)), ""\?|\\"")))), ROW()-ROW($T$1:$T$194))), """", INDEX(IFERROR(FILTER(SPLIT($V$1, CHAR(10)), NOT(REGEXMATCH(SPLIT($V$1, CHAR(10)), ""\?|\\"")))), ROW()-ROW($T$1:$T$"&amp;"300)))"),"")</f>
        <v/>
      </c>
      <c r="W188" s="16">
        <f t="shared" si="1"/>
        <v>263</v>
      </c>
    </row>
    <row r="189">
      <c r="Q189" s="34"/>
      <c r="R189" s="35"/>
      <c r="S189" s="31" t="str">
        <f t="shared" si="2"/>
        <v/>
      </c>
      <c r="T189" s="32"/>
      <c r="V189" s="16" t="str">
        <f>IFERROR(__xludf.DUMMYFUNCTION("IF(ISERROR(INDEX(IFERROR(FILTER(SPLIT($V$1, CHAR(10)), NOT(REGEXMATCH(SPLIT($V$1, CHAR(10)), ""\?|\\"")))), ROW()-ROW($T$1:$T$194))), """", INDEX(IFERROR(FILTER(SPLIT($V$1, CHAR(10)), NOT(REGEXMATCH(SPLIT($V$1, CHAR(10)), ""\?|\\"")))), ROW()-ROW($T$1:$T$"&amp;"300)))"),"")</f>
        <v/>
      </c>
      <c r="W189" s="16">
        <f t="shared" si="1"/>
        <v>263</v>
      </c>
    </row>
    <row r="190">
      <c r="R190" s="35"/>
      <c r="S190" s="31" t="str">
        <f t="shared" si="2"/>
        <v/>
      </c>
      <c r="T190" s="32"/>
      <c r="V190" s="16" t="str">
        <f>IFERROR(__xludf.DUMMYFUNCTION("IF(ISERROR(INDEX(IFERROR(FILTER(SPLIT($V$1, CHAR(10)), NOT(REGEXMATCH(SPLIT($V$1, CHAR(10)), ""\?|\\"")))), ROW()-ROW($T$1:$T$194))), """", INDEX(IFERROR(FILTER(SPLIT($V$1, CHAR(10)), NOT(REGEXMATCH(SPLIT($V$1, CHAR(10)), ""\?|\\"")))), ROW()-ROW($T$1:$T$"&amp;"300)))"),"")</f>
        <v/>
      </c>
      <c r="W190" s="16">
        <f t="shared" si="1"/>
        <v>263</v>
      </c>
    </row>
    <row r="191">
      <c r="R191" s="35"/>
      <c r="S191" s="31" t="str">
        <f t="shared" si="2"/>
        <v/>
      </c>
      <c r="T191" s="32"/>
      <c r="V191" s="16" t="str">
        <f>IFERROR(__xludf.DUMMYFUNCTION("IF(ISERROR(INDEX(IFERROR(FILTER(SPLIT($V$1, CHAR(10)), NOT(REGEXMATCH(SPLIT($V$1, CHAR(10)), ""\?|\\"")))), ROW()-ROW($T$1:$T$194))), """", INDEX(IFERROR(FILTER(SPLIT($V$1, CHAR(10)), NOT(REGEXMATCH(SPLIT($V$1, CHAR(10)), ""\?|\\"")))), ROW()-ROW($T$1:$T$"&amp;"300)))"),"")</f>
        <v/>
      </c>
      <c r="W191" s="16">
        <f t="shared" si="1"/>
        <v>263</v>
      </c>
    </row>
    <row r="192">
      <c r="R192" s="35"/>
      <c r="S192" s="31" t="str">
        <f t="shared" si="2"/>
        <v/>
      </c>
      <c r="T192" s="32"/>
      <c r="V192" s="16" t="str">
        <f>IFERROR(__xludf.DUMMYFUNCTION("IF(ISERROR(INDEX(IFERROR(FILTER(SPLIT($V$1, CHAR(10)), NOT(REGEXMATCH(SPLIT($V$1, CHAR(10)), ""\?|\\"")))), ROW()-ROW($T$1:$T$194))), """", INDEX(IFERROR(FILTER(SPLIT($V$1, CHAR(10)), NOT(REGEXMATCH(SPLIT($V$1, CHAR(10)), ""\?|\\"")))), ROW()-ROW($T$1:$T$"&amp;"300)))"),"")</f>
        <v/>
      </c>
      <c r="W192" s="16">
        <f t="shared" si="1"/>
        <v>263</v>
      </c>
    </row>
    <row r="193">
      <c r="R193" s="35"/>
      <c r="S193" s="31" t="str">
        <f t="shared" si="2"/>
        <v/>
      </c>
      <c r="T193" s="32"/>
      <c r="V193" s="16" t="str">
        <f>IFERROR(__xludf.DUMMYFUNCTION("IF(ISERROR(INDEX(IFERROR(FILTER(SPLIT($V$1, CHAR(10)), NOT(REGEXMATCH(SPLIT($V$1, CHAR(10)), ""\?|\\"")))), ROW()-ROW($T$1:$T$194))), """", INDEX(IFERROR(FILTER(SPLIT($V$1, CHAR(10)), NOT(REGEXMATCH(SPLIT($V$1, CHAR(10)), ""\?|\\"")))), ROW()-ROW($T$1:$T$"&amp;"300)))"),"")</f>
        <v/>
      </c>
      <c r="W193" s="16">
        <f t="shared" si="1"/>
        <v>263</v>
      </c>
    </row>
    <row r="194">
      <c r="R194" s="35"/>
      <c r="S194" s="31" t="str">
        <f t="shared" si="2"/>
        <v/>
      </c>
      <c r="T194" s="32"/>
      <c r="V194" s="16" t="str">
        <f>IFERROR(__xludf.DUMMYFUNCTION("IF(ISERROR(INDEX(IFERROR(FILTER(SPLIT($V$1, CHAR(10)), NOT(REGEXMATCH(SPLIT($V$1, CHAR(10)), ""\?|\\"")))), ROW()-ROW($T$1:$T$194))), """", INDEX(IFERROR(FILTER(SPLIT($V$1, CHAR(10)), NOT(REGEXMATCH(SPLIT($V$1, CHAR(10)), ""\?|\\"")))), ROW()-ROW($T$1:$T$"&amp;"300)))"),"")</f>
        <v/>
      </c>
      <c r="W194" s="16">
        <f t="shared" si="1"/>
        <v>263</v>
      </c>
    </row>
    <row r="195">
      <c r="R195" s="35"/>
      <c r="S195" s="31" t="str">
        <f t="shared" si="2"/>
        <v/>
      </c>
      <c r="T195" s="32"/>
      <c r="V195" s="16" t="str">
        <f>IFERROR(__xludf.DUMMYFUNCTION("IF(ISERROR(INDEX(IFERROR(FILTER(SPLIT($V$1, CHAR(10)), NOT(REGEXMATCH(SPLIT($V$1, CHAR(10)), ""\?|\\"")))), ROW()-ROW($T$1:$T$194))), """", INDEX(IFERROR(FILTER(SPLIT($V$1, CHAR(10)), NOT(REGEXMATCH(SPLIT($V$1, CHAR(10)), ""\?|\\"")))), ROW()-ROW($T$1:$T$"&amp;"300)))"),"")</f>
        <v/>
      </c>
      <c r="W195" s="16">
        <f t="shared" si="1"/>
        <v>263</v>
      </c>
    </row>
    <row r="196">
      <c r="R196" s="35"/>
      <c r="S196" s="31" t="str">
        <f t="shared" si="2"/>
        <v/>
      </c>
      <c r="T196" s="32"/>
      <c r="V196" s="16" t="str">
        <f>IFERROR(__xludf.DUMMYFUNCTION("IF(ISERROR(INDEX(IFERROR(FILTER(SPLIT($V$1, CHAR(10)), NOT(REGEXMATCH(SPLIT($V$1, CHAR(10)), ""\?|\\"")))), ROW()-ROW($T$1:$T$194))), """", INDEX(IFERROR(FILTER(SPLIT($V$1, CHAR(10)), NOT(REGEXMATCH(SPLIT($V$1, CHAR(10)), ""\?|\\"")))), ROW()-ROW($T$1:$T$"&amp;"300)))"),"")</f>
        <v/>
      </c>
      <c r="W196" s="16">
        <f t="shared" si="1"/>
        <v>263</v>
      </c>
    </row>
    <row r="197">
      <c r="R197" s="35"/>
      <c r="S197" s="31" t="str">
        <f t="shared" si="2"/>
        <v/>
      </c>
      <c r="T197" s="32"/>
      <c r="V197" s="16" t="str">
        <f>IFERROR(__xludf.DUMMYFUNCTION("IF(ISERROR(INDEX(IFERROR(FILTER(SPLIT($V$1, CHAR(10)), NOT(REGEXMATCH(SPLIT($V$1, CHAR(10)), ""\?|\\"")))), ROW()-ROW($T$1:$T$194))), """", INDEX(IFERROR(FILTER(SPLIT($V$1, CHAR(10)), NOT(REGEXMATCH(SPLIT($V$1, CHAR(10)), ""\?|\\"")))), ROW()-ROW($T$1:$T$"&amp;"300)))"),"")</f>
        <v/>
      </c>
      <c r="W197" s="16">
        <f t="shared" si="1"/>
        <v>263</v>
      </c>
    </row>
    <row r="198">
      <c r="R198" s="35"/>
      <c r="S198" s="31" t="str">
        <f t="shared" si="2"/>
        <v/>
      </c>
      <c r="T198" s="32"/>
      <c r="V198" s="16" t="str">
        <f>IFERROR(__xludf.DUMMYFUNCTION("IF(ISERROR(INDEX(IFERROR(FILTER(SPLIT($V$1, CHAR(10)), NOT(REGEXMATCH(SPLIT($V$1, CHAR(10)), ""\?|\\"")))), ROW()-ROW($T$1:$T$194))), """", INDEX(IFERROR(FILTER(SPLIT($V$1, CHAR(10)), NOT(REGEXMATCH(SPLIT($V$1, CHAR(10)), ""\?|\\"")))), ROW()-ROW($T$1:$T$"&amp;"300)))"),"")</f>
        <v/>
      </c>
      <c r="W198" s="16">
        <f t="shared" si="1"/>
        <v>263</v>
      </c>
    </row>
    <row r="199">
      <c r="R199" s="35"/>
      <c r="S199" s="31" t="str">
        <f t="shared" si="2"/>
        <v/>
      </c>
      <c r="T199" s="32"/>
      <c r="V199" s="16" t="str">
        <f>IFERROR(__xludf.DUMMYFUNCTION("IF(ISERROR(INDEX(IFERROR(FILTER(SPLIT($V$1, CHAR(10)), NOT(REGEXMATCH(SPLIT($V$1, CHAR(10)), ""\?|\\"")))), ROW()-ROW($T$1:$T$194))), """", INDEX(IFERROR(FILTER(SPLIT($V$1, CHAR(10)), NOT(REGEXMATCH(SPLIT($V$1, CHAR(10)), ""\?|\\"")))), ROW()-ROW($T$1:$T$"&amp;"300)))"),"")</f>
        <v/>
      </c>
      <c r="W199" s="16">
        <f t="shared" si="1"/>
        <v>263</v>
      </c>
    </row>
    <row r="200">
      <c r="R200" s="35"/>
      <c r="S200" s="31" t="str">
        <f t="shared" si="2"/>
        <v/>
      </c>
      <c r="T200" s="32"/>
      <c r="V200" s="16" t="str">
        <f>IFERROR(__xludf.DUMMYFUNCTION("IF(ISERROR(INDEX(IFERROR(FILTER(SPLIT($V$1, CHAR(10)), NOT(REGEXMATCH(SPLIT($V$1, CHAR(10)), ""\?|\\"")))), ROW()-ROW($T$1:$T$194))), """", INDEX(IFERROR(FILTER(SPLIT($V$1, CHAR(10)), NOT(REGEXMATCH(SPLIT($V$1, CHAR(10)), ""\?|\\"")))), ROW()-ROW($T$1:$T$"&amp;"300)))"),"")</f>
        <v/>
      </c>
      <c r="W200" s="16">
        <f t="shared" si="1"/>
        <v>263</v>
      </c>
    </row>
    <row r="201">
      <c r="R201" s="35"/>
      <c r="S201" s="31" t="str">
        <f t="shared" si="2"/>
        <v/>
      </c>
      <c r="T201" s="32"/>
      <c r="V201" s="16" t="str">
        <f>IFERROR(__xludf.DUMMYFUNCTION("IF(ISERROR(INDEX(IFERROR(FILTER(SPLIT($V$1, CHAR(10)), NOT(REGEXMATCH(SPLIT($V$1, CHAR(10)), ""\?|\\"")))), ROW()-ROW($T$1:$T$194))), """", INDEX(IFERROR(FILTER(SPLIT($V$1, CHAR(10)), NOT(REGEXMATCH(SPLIT($V$1, CHAR(10)), ""\?|\\"")))), ROW()-ROW($T$1:$T$"&amp;"300)))"),"")</f>
        <v/>
      </c>
      <c r="W201" s="16">
        <f t="shared" si="1"/>
        <v>263</v>
      </c>
    </row>
    <row r="202">
      <c r="R202" s="35"/>
      <c r="S202" s="31" t="str">
        <f t="shared" si="2"/>
        <v/>
      </c>
      <c r="T202" s="32"/>
      <c r="V202" s="16" t="str">
        <f>IFERROR(__xludf.DUMMYFUNCTION("IF(ISERROR(INDEX(IFERROR(FILTER(SPLIT($V$1, CHAR(10)), NOT(REGEXMATCH(SPLIT($V$1, CHAR(10)), ""\?|\\"")))), ROW()-ROW($T$1:$T$194))), """", INDEX(IFERROR(FILTER(SPLIT($V$1, CHAR(10)), NOT(REGEXMATCH(SPLIT($V$1, CHAR(10)), ""\?|\\"")))), ROW()-ROW($T$1:$T$"&amp;"300)))"),"")</f>
        <v/>
      </c>
      <c r="W202" s="16">
        <f t="shared" si="1"/>
        <v>263</v>
      </c>
    </row>
    <row r="203">
      <c r="R203" s="35"/>
      <c r="S203" s="31" t="str">
        <f t="shared" si="2"/>
        <v/>
      </c>
      <c r="T203" s="32"/>
      <c r="V203" s="16" t="str">
        <f>IFERROR(__xludf.DUMMYFUNCTION("IF(ISERROR(INDEX(IFERROR(FILTER(SPLIT($V$1, CHAR(10)), NOT(REGEXMATCH(SPLIT($V$1, CHAR(10)), ""\?|\\"")))), ROW()-ROW($T$1:$T$194))), """", INDEX(IFERROR(FILTER(SPLIT($V$1, CHAR(10)), NOT(REGEXMATCH(SPLIT($V$1, CHAR(10)), ""\?|\\"")))), ROW()-ROW($T$1:$T$"&amp;"300)))"),"")</f>
        <v/>
      </c>
      <c r="W203" s="16">
        <f t="shared" si="1"/>
        <v>263</v>
      </c>
    </row>
    <row r="204">
      <c r="R204" s="35"/>
      <c r="S204" s="31" t="str">
        <f t="shared" si="2"/>
        <v/>
      </c>
      <c r="T204" s="32"/>
      <c r="V204" s="16" t="str">
        <f>IFERROR(__xludf.DUMMYFUNCTION("IF(ISERROR(INDEX(IFERROR(FILTER(SPLIT($V$1, CHAR(10)), NOT(REGEXMATCH(SPLIT($V$1, CHAR(10)), ""\?|\\"")))), ROW()-ROW($T$1:$T$194))), """", INDEX(IFERROR(FILTER(SPLIT($V$1, CHAR(10)), NOT(REGEXMATCH(SPLIT($V$1, CHAR(10)), ""\?|\\"")))), ROW()-ROW($T$1:$T$"&amp;"300)))"),"")</f>
        <v/>
      </c>
      <c r="W204" s="16">
        <f t="shared" si="1"/>
        <v>263</v>
      </c>
    </row>
    <row r="205">
      <c r="R205" s="35"/>
      <c r="S205" s="31" t="str">
        <f t="shared" si="2"/>
        <v/>
      </c>
      <c r="T205" s="32"/>
      <c r="V205" s="16" t="str">
        <f>IFERROR(__xludf.DUMMYFUNCTION("IF(ISERROR(INDEX(IFERROR(FILTER(SPLIT($V$1, CHAR(10)), NOT(REGEXMATCH(SPLIT($V$1, CHAR(10)), ""\?|\\"")))), ROW()-ROW($T$1:$T$194))), """", INDEX(IFERROR(FILTER(SPLIT($V$1, CHAR(10)), NOT(REGEXMATCH(SPLIT($V$1, CHAR(10)), ""\?|\\"")))), ROW()-ROW($T$1:$T$"&amp;"300)))"),"")</f>
        <v/>
      </c>
      <c r="W205" s="16">
        <f t="shared" si="1"/>
        <v>263</v>
      </c>
    </row>
    <row r="206">
      <c r="R206" s="35"/>
      <c r="S206" s="31" t="str">
        <f t="shared" si="2"/>
        <v/>
      </c>
      <c r="T206" s="32"/>
      <c r="V206" s="16" t="str">
        <f>IFERROR(__xludf.DUMMYFUNCTION("IF(ISERROR(INDEX(IFERROR(FILTER(SPLIT($V$1, CHAR(10)), NOT(REGEXMATCH(SPLIT($V$1, CHAR(10)), ""\?|\\"")))), ROW()-ROW($T$1:$T$194))), """", INDEX(IFERROR(FILTER(SPLIT($V$1, CHAR(10)), NOT(REGEXMATCH(SPLIT($V$1, CHAR(10)), ""\?|\\"")))), ROW()-ROW($T$1:$T$"&amp;"300)))"),"")</f>
        <v/>
      </c>
      <c r="W206" s="16">
        <f t="shared" si="1"/>
        <v>263</v>
      </c>
    </row>
    <row r="207">
      <c r="R207" s="35"/>
      <c r="S207" s="31" t="str">
        <f t="shared" si="2"/>
        <v/>
      </c>
      <c r="T207" s="32"/>
      <c r="V207" s="16" t="str">
        <f>IFERROR(__xludf.DUMMYFUNCTION("IF(ISERROR(INDEX(IFERROR(FILTER(SPLIT($V$1, CHAR(10)), NOT(REGEXMATCH(SPLIT($V$1, CHAR(10)), ""\?|\\"")))), ROW()-ROW($T$1:$T$194))), """", INDEX(IFERROR(FILTER(SPLIT($V$1, CHAR(10)), NOT(REGEXMATCH(SPLIT($V$1, CHAR(10)), ""\?|\\"")))), ROW()-ROW($T$1:$T$"&amp;"300)))"),"")</f>
        <v/>
      </c>
      <c r="W207" s="16">
        <f t="shared" si="1"/>
        <v>263</v>
      </c>
    </row>
    <row r="208">
      <c r="R208" s="35"/>
      <c r="S208" s="31" t="str">
        <f t="shared" si="2"/>
        <v/>
      </c>
      <c r="T208" s="32"/>
      <c r="V208" s="16" t="str">
        <f>IFERROR(__xludf.DUMMYFUNCTION("IF(ISERROR(INDEX(IFERROR(FILTER(SPLIT($V$1, CHAR(10)), NOT(REGEXMATCH(SPLIT($V$1, CHAR(10)), ""\?|\\"")))), ROW()-ROW($T$1:$T$194))), """", INDEX(IFERROR(FILTER(SPLIT($V$1, CHAR(10)), NOT(REGEXMATCH(SPLIT($V$1, CHAR(10)), ""\?|\\"")))), ROW()-ROW($T$1:$T$"&amp;"300)))"),"")</f>
        <v/>
      </c>
      <c r="W208" s="16">
        <f t="shared" si="1"/>
        <v>263</v>
      </c>
    </row>
    <row r="209">
      <c r="R209" s="35"/>
      <c r="S209" s="31" t="str">
        <f t="shared" si="2"/>
        <v/>
      </c>
      <c r="T209" s="32"/>
      <c r="V209" s="16" t="str">
        <f>IFERROR(__xludf.DUMMYFUNCTION("IF(ISERROR(INDEX(IFERROR(FILTER(SPLIT($V$1, CHAR(10)), NOT(REGEXMATCH(SPLIT($V$1, CHAR(10)), ""\?|\\"")))), ROW()-ROW($T$1:$T$194))), """", INDEX(IFERROR(FILTER(SPLIT($V$1, CHAR(10)), NOT(REGEXMATCH(SPLIT($V$1, CHAR(10)), ""\?|\\"")))), ROW()-ROW($T$1:$T$"&amp;"300)))"),"")</f>
        <v/>
      </c>
      <c r="W209" s="16">
        <f t="shared" si="1"/>
        <v>263</v>
      </c>
    </row>
    <row r="210">
      <c r="R210" s="35"/>
      <c r="S210" s="31" t="str">
        <f t="shared" si="2"/>
        <v/>
      </c>
      <c r="T210" s="32"/>
      <c r="V210" s="16" t="str">
        <f>IFERROR(__xludf.DUMMYFUNCTION("IF(ISERROR(INDEX(IFERROR(FILTER(SPLIT($V$1, CHAR(10)), NOT(REGEXMATCH(SPLIT($V$1, CHAR(10)), ""\?|\\"")))), ROW()-ROW($T$1:$T$194))), """", INDEX(IFERROR(FILTER(SPLIT($V$1, CHAR(10)), NOT(REGEXMATCH(SPLIT($V$1, CHAR(10)), ""\?|\\"")))), ROW()-ROW($T$1:$T$"&amp;"300)))"),"")</f>
        <v/>
      </c>
      <c r="W210" s="16">
        <f t="shared" si="1"/>
        <v>263</v>
      </c>
    </row>
    <row r="211">
      <c r="R211" s="35"/>
      <c r="S211" s="31" t="str">
        <f t="shared" si="2"/>
        <v/>
      </c>
      <c r="T211" s="32"/>
      <c r="V211" s="16" t="str">
        <f>IFERROR(__xludf.DUMMYFUNCTION("IF(ISERROR(INDEX(IFERROR(FILTER(SPLIT($V$1, CHAR(10)), NOT(REGEXMATCH(SPLIT($V$1, CHAR(10)), ""\?|\\"")))), ROW()-ROW($T$1:$T$194))), """", INDEX(IFERROR(FILTER(SPLIT($V$1, CHAR(10)), NOT(REGEXMATCH(SPLIT($V$1, CHAR(10)), ""\?|\\"")))), ROW()-ROW($T$1:$T$"&amp;"300)))"),"")</f>
        <v/>
      </c>
      <c r="W211" s="16">
        <f t="shared" si="1"/>
        <v>263</v>
      </c>
    </row>
    <row r="212">
      <c r="R212" s="35"/>
      <c r="S212" s="31" t="str">
        <f t="shared" si="2"/>
        <v/>
      </c>
      <c r="T212" s="32"/>
      <c r="V212" s="16" t="str">
        <f>IFERROR(__xludf.DUMMYFUNCTION("IF(ISERROR(INDEX(IFERROR(FILTER(SPLIT($V$1, CHAR(10)), NOT(REGEXMATCH(SPLIT($V$1, CHAR(10)), ""\?|\\"")))), ROW()-ROW($T$1:$T$194))), """", INDEX(IFERROR(FILTER(SPLIT($V$1, CHAR(10)), NOT(REGEXMATCH(SPLIT($V$1, CHAR(10)), ""\?|\\"")))), ROW()-ROW($T$1:$T$"&amp;"300)))"),"")</f>
        <v/>
      </c>
      <c r="W212" s="16">
        <f t="shared" si="1"/>
        <v>263</v>
      </c>
    </row>
    <row r="213">
      <c r="R213" s="35"/>
      <c r="S213" s="31" t="str">
        <f t="shared" si="2"/>
        <v/>
      </c>
      <c r="T213" s="32"/>
      <c r="V213" s="16" t="str">
        <f>IFERROR(__xludf.DUMMYFUNCTION("IF(ISERROR(INDEX(IFERROR(FILTER(SPLIT($V$1, CHAR(10)), NOT(REGEXMATCH(SPLIT($V$1, CHAR(10)), ""\?|\\"")))), ROW()-ROW($T$1:$T$194))), """", INDEX(IFERROR(FILTER(SPLIT($V$1, CHAR(10)), NOT(REGEXMATCH(SPLIT($V$1, CHAR(10)), ""\?|\\"")))), ROW()-ROW($T$1:$T$"&amp;"300)))"),"")</f>
        <v/>
      </c>
      <c r="W213" s="16">
        <f t="shared" si="1"/>
        <v>263</v>
      </c>
    </row>
    <row r="214">
      <c r="R214" s="35"/>
      <c r="S214" s="31" t="str">
        <f t="shared" si="2"/>
        <v/>
      </c>
      <c r="T214" s="32"/>
      <c r="V214" s="16" t="str">
        <f>IFERROR(__xludf.DUMMYFUNCTION("IF(ISERROR(INDEX(IFERROR(FILTER(SPLIT($V$1, CHAR(10)), NOT(REGEXMATCH(SPLIT($V$1, CHAR(10)), ""\?|\\"")))), ROW()-ROW($T$1:$T$194))), """", INDEX(IFERROR(FILTER(SPLIT($V$1, CHAR(10)), NOT(REGEXMATCH(SPLIT($V$1, CHAR(10)), ""\?|\\"")))), ROW()-ROW($T$1:$T$"&amp;"300)))"),"")</f>
        <v/>
      </c>
      <c r="W214" s="16">
        <f t="shared" si="1"/>
        <v>263</v>
      </c>
    </row>
    <row r="215">
      <c r="R215" s="35"/>
      <c r="S215" s="31" t="str">
        <f t="shared" si="2"/>
        <v/>
      </c>
      <c r="T215" s="32"/>
      <c r="V215" s="16" t="str">
        <f>IFERROR(__xludf.DUMMYFUNCTION("IF(ISERROR(INDEX(IFERROR(FILTER(SPLIT($V$1, CHAR(10)), NOT(REGEXMATCH(SPLIT($V$1, CHAR(10)), ""\?|\\"")))), ROW()-ROW($T$1:$T$194))), """", INDEX(IFERROR(FILTER(SPLIT($V$1, CHAR(10)), NOT(REGEXMATCH(SPLIT($V$1, CHAR(10)), ""\?|\\"")))), ROW()-ROW($T$1:$T$"&amp;"300)))"),"")</f>
        <v/>
      </c>
      <c r="W215" s="16">
        <f t="shared" si="1"/>
        <v>263</v>
      </c>
    </row>
    <row r="216">
      <c r="R216" s="35"/>
      <c r="S216" s="31" t="str">
        <f t="shared" si="2"/>
        <v/>
      </c>
      <c r="T216" s="32"/>
      <c r="V216" s="16" t="str">
        <f>IFERROR(__xludf.DUMMYFUNCTION("IF(ISERROR(INDEX(IFERROR(FILTER(SPLIT($V$1, CHAR(10)), NOT(REGEXMATCH(SPLIT($V$1, CHAR(10)), ""\?|\\"")))), ROW()-ROW($T$1:$T$194))), """", INDEX(IFERROR(FILTER(SPLIT($V$1, CHAR(10)), NOT(REGEXMATCH(SPLIT($V$1, CHAR(10)), ""\?|\\"")))), ROW()-ROW($T$1:$T$"&amp;"300)))"),"")</f>
        <v/>
      </c>
      <c r="W216" s="16">
        <f t="shared" si="1"/>
        <v>263</v>
      </c>
    </row>
    <row r="217">
      <c r="R217" s="35"/>
      <c r="S217" s="31" t="str">
        <f t="shared" si="2"/>
        <v/>
      </c>
      <c r="T217" s="32"/>
      <c r="V217" s="16" t="str">
        <f>IFERROR(__xludf.DUMMYFUNCTION("IF(ISERROR(INDEX(IFERROR(FILTER(SPLIT($V$1, CHAR(10)), NOT(REGEXMATCH(SPLIT($V$1, CHAR(10)), ""\?|\\"")))), ROW()-ROW($T$1:$T$194))), """", INDEX(IFERROR(FILTER(SPLIT($V$1, CHAR(10)), NOT(REGEXMATCH(SPLIT($V$1, CHAR(10)), ""\?|\\"")))), ROW()-ROW($T$1:$T$"&amp;"300)))"),"")</f>
        <v/>
      </c>
      <c r="W217" s="16">
        <f t="shared" si="1"/>
        <v>263</v>
      </c>
    </row>
    <row r="218">
      <c r="R218" s="35"/>
      <c r="S218" s="31" t="str">
        <f t="shared" si="2"/>
        <v/>
      </c>
      <c r="T218" s="32"/>
      <c r="V218" s="16" t="str">
        <f>IFERROR(__xludf.DUMMYFUNCTION("IF(ISERROR(INDEX(IFERROR(FILTER(SPLIT($V$1, CHAR(10)), NOT(REGEXMATCH(SPLIT($V$1, CHAR(10)), ""\?|\\"")))), ROW()-ROW($T$1:$T$194))), """", INDEX(IFERROR(FILTER(SPLIT($V$1, CHAR(10)), NOT(REGEXMATCH(SPLIT($V$1, CHAR(10)), ""\?|\\"")))), ROW()-ROW($T$1:$T$"&amp;"300)))"),"")</f>
        <v/>
      </c>
      <c r="W218" s="16">
        <f t="shared" si="1"/>
        <v>263</v>
      </c>
    </row>
    <row r="219">
      <c r="R219" s="35"/>
      <c r="S219" s="31" t="str">
        <f t="shared" si="2"/>
        <v/>
      </c>
      <c r="T219" s="32"/>
      <c r="V219" s="16" t="str">
        <f>IFERROR(__xludf.DUMMYFUNCTION("IF(ISERROR(INDEX(IFERROR(FILTER(SPLIT($V$1, CHAR(10)), NOT(REGEXMATCH(SPLIT($V$1, CHAR(10)), ""\?|\\"")))), ROW()-ROW($T$1:$T$194))), """", INDEX(IFERROR(FILTER(SPLIT($V$1, CHAR(10)), NOT(REGEXMATCH(SPLIT($V$1, CHAR(10)), ""\?|\\"")))), ROW()-ROW($T$1:$T$"&amp;"300)))"),"")</f>
        <v/>
      </c>
      <c r="W219" s="16">
        <f t="shared" si="1"/>
        <v>263</v>
      </c>
    </row>
    <row r="220">
      <c r="R220" s="35"/>
      <c r="S220" s="31" t="str">
        <f t="shared" si="2"/>
        <v/>
      </c>
      <c r="T220" s="32"/>
      <c r="V220" s="16" t="str">
        <f>IFERROR(__xludf.DUMMYFUNCTION("IF(ISERROR(INDEX(IFERROR(FILTER(SPLIT($V$1, CHAR(10)), NOT(REGEXMATCH(SPLIT($V$1, CHAR(10)), ""\?|\\"")))), ROW()-ROW($T$1:$T$194))), """", INDEX(IFERROR(FILTER(SPLIT($V$1, CHAR(10)), NOT(REGEXMATCH(SPLIT($V$1, CHAR(10)), ""\?|\\"")))), ROW()-ROW($T$1:$T$"&amp;"300)))"),"")</f>
        <v/>
      </c>
      <c r="W220" s="16">
        <f t="shared" si="1"/>
        <v>263</v>
      </c>
    </row>
    <row r="221">
      <c r="R221" s="35"/>
      <c r="S221" s="31" t="str">
        <f t="shared" si="2"/>
        <v/>
      </c>
      <c r="T221" s="32"/>
      <c r="V221" s="16" t="str">
        <f>IFERROR(__xludf.DUMMYFUNCTION("IF(ISERROR(INDEX(IFERROR(FILTER(SPLIT($V$1, CHAR(10)), NOT(REGEXMATCH(SPLIT($V$1, CHAR(10)), ""\?|\\"")))), ROW()-ROW($T$1:$T$194))), """", INDEX(IFERROR(FILTER(SPLIT($V$1, CHAR(10)), NOT(REGEXMATCH(SPLIT($V$1, CHAR(10)), ""\?|\\"")))), ROW()-ROW($T$1:$T$"&amp;"300)))"),"")</f>
        <v/>
      </c>
      <c r="W221" s="16">
        <f t="shared" si="1"/>
        <v>263</v>
      </c>
    </row>
    <row r="222">
      <c r="R222" s="35"/>
      <c r="S222" s="31" t="str">
        <f t="shared" si="2"/>
        <v/>
      </c>
      <c r="T222" s="32"/>
      <c r="V222" s="16" t="str">
        <f>IFERROR(__xludf.DUMMYFUNCTION("IF(ISERROR(INDEX(IFERROR(FILTER(SPLIT($V$1, CHAR(10)), NOT(REGEXMATCH(SPLIT($V$1, CHAR(10)), ""\?|\\"")))), ROW()-ROW($T$1:$T$194))), """", INDEX(IFERROR(FILTER(SPLIT($V$1, CHAR(10)), NOT(REGEXMATCH(SPLIT($V$1, CHAR(10)), ""\?|\\"")))), ROW()-ROW($T$1:$T$"&amp;"300)))"),"")</f>
        <v/>
      </c>
      <c r="W222" s="16">
        <f t="shared" si="1"/>
        <v>263</v>
      </c>
    </row>
    <row r="223">
      <c r="R223" s="35"/>
      <c r="S223" s="31" t="str">
        <f t="shared" si="2"/>
        <v/>
      </c>
      <c r="T223" s="32"/>
      <c r="V223" s="16" t="str">
        <f>IFERROR(__xludf.DUMMYFUNCTION("IF(ISERROR(INDEX(IFERROR(FILTER(SPLIT($V$1, CHAR(10)), NOT(REGEXMATCH(SPLIT($V$1, CHAR(10)), ""\?|\\"")))), ROW()-ROW($T$1:$T$194))), """", INDEX(IFERROR(FILTER(SPLIT($V$1, CHAR(10)), NOT(REGEXMATCH(SPLIT($V$1, CHAR(10)), ""\?|\\"")))), ROW()-ROW($T$1:$T$"&amp;"300)))"),"")</f>
        <v/>
      </c>
      <c r="W223" s="16">
        <f t="shared" si="1"/>
        <v>263</v>
      </c>
    </row>
    <row r="224">
      <c r="R224" s="35"/>
      <c r="S224" s="31" t="str">
        <f t="shared" si="2"/>
        <v/>
      </c>
      <c r="T224" s="32"/>
      <c r="V224" s="16" t="str">
        <f>IFERROR(__xludf.DUMMYFUNCTION("IF(ISERROR(INDEX(IFERROR(FILTER(SPLIT($V$1, CHAR(10)), NOT(REGEXMATCH(SPLIT($V$1, CHAR(10)), ""\?|\\"")))), ROW()-ROW($T$1:$T$194))), """", INDEX(IFERROR(FILTER(SPLIT($V$1, CHAR(10)), NOT(REGEXMATCH(SPLIT($V$1, CHAR(10)), ""\?|\\"")))), ROW()-ROW($T$1:$T$"&amp;"300)))"),"")</f>
        <v/>
      </c>
      <c r="W224" s="16">
        <f t="shared" si="1"/>
        <v>263</v>
      </c>
    </row>
    <row r="225">
      <c r="R225" s="35"/>
      <c r="S225" s="31" t="str">
        <f t="shared" si="2"/>
        <v/>
      </c>
      <c r="T225" s="32"/>
      <c r="V225" s="16" t="str">
        <f>IFERROR(__xludf.DUMMYFUNCTION("IF(ISERROR(INDEX(IFERROR(FILTER(SPLIT($V$1, CHAR(10)), NOT(REGEXMATCH(SPLIT($V$1, CHAR(10)), ""\?|\\"")))), ROW()-ROW($T$1:$T$194))), """", INDEX(IFERROR(FILTER(SPLIT($V$1, CHAR(10)), NOT(REGEXMATCH(SPLIT($V$1, CHAR(10)), ""\?|\\"")))), ROW()-ROW($T$1:$T$"&amp;"300)))"),"")</f>
        <v/>
      </c>
      <c r="W225" s="16">
        <f t="shared" si="1"/>
        <v>263</v>
      </c>
    </row>
    <row r="226">
      <c r="R226" s="35"/>
      <c r="S226" s="31" t="str">
        <f t="shared" si="2"/>
        <v/>
      </c>
      <c r="T226" s="32"/>
      <c r="V226" s="16" t="str">
        <f>IFERROR(__xludf.DUMMYFUNCTION("IF(ISERROR(INDEX(IFERROR(FILTER(SPLIT($V$1, CHAR(10)), NOT(REGEXMATCH(SPLIT($V$1, CHAR(10)), ""\?|\\"")))), ROW()-ROW($T$1:$T$194))), """", INDEX(IFERROR(FILTER(SPLIT($V$1, CHAR(10)), NOT(REGEXMATCH(SPLIT($V$1, CHAR(10)), ""\?|\\"")))), ROW()-ROW($T$1:$T$"&amp;"300)))"),"")</f>
        <v/>
      </c>
      <c r="W226" s="16">
        <f t="shared" si="1"/>
        <v>263</v>
      </c>
    </row>
    <row r="227">
      <c r="R227" s="35"/>
      <c r="S227" s="31" t="str">
        <f t="shared" si="2"/>
        <v/>
      </c>
      <c r="T227" s="32"/>
      <c r="V227" s="16" t="str">
        <f>IFERROR(__xludf.DUMMYFUNCTION("IF(ISERROR(INDEX(IFERROR(FILTER(SPLIT($V$1, CHAR(10)), NOT(REGEXMATCH(SPLIT($V$1, CHAR(10)), ""\?|\\"")))), ROW()-ROW($T$1:$T$194))), """", INDEX(IFERROR(FILTER(SPLIT($V$1, CHAR(10)), NOT(REGEXMATCH(SPLIT($V$1, CHAR(10)), ""\?|\\"")))), ROW()-ROW($T$1:$T$"&amp;"300)))"),"")</f>
        <v/>
      </c>
      <c r="W227" s="16">
        <f t="shared" si="1"/>
        <v>263</v>
      </c>
    </row>
    <row r="228">
      <c r="R228" s="35"/>
      <c r="S228" s="31" t="str">
        <f t="shared" si="2"/>
        <v/>
      </c>
      <c r="T228" s="32"/>
      <c r="V228" s="16" t="str">
        <f>IFERROR(__xludf.DUMMYFUNCTION("IF(ISERROR(INDEX(IFERROR(FILTER(SPLIT($V$1, CHAR(10)), NOT(REGEXMATCH(SPLIT($V$1, CHAR(10)), ""\?|\\"")))), ROW()-ROW($T$1:$T$194))), """", INDEX(IFERROR(FILTER(SPLIT($V$1, CHAR(10)), NOT(REGEXMATCH(SPLIT($V$1, CHAR(10)), ""\?|\\"")))), ROW()-ROW($T$1:$T$"&amp;"300)))"),"")</f>
        <v/>
      </c>
      <c r="W228" s="16">
        <f t="shared" si="1"/>
        <v>263</v>
      </c>
    </row>
    <row r="229">
      <c r="R229" s="35"/>
      <c r="S229" s="31" t="str">
        <f t="shared" si="2"/>
        <v/>
      </c>
      <c r="T229" s="32"/>
      <c r="V229" s="16" t="str">
        <f>IFERROR(__xludf.DUMMYFUNCTION("IF(ISERROR(INDEX(IFERROR(FILTER(SPLIT($V$1, CHAR(10)), NOT(REGEXMATCH(SPLIT($V$1, CHAR(10)), ""\?|\\"")))), ROW()-ROW($T$1:$T$194))), """", INDEX(IFERROR(FILTER(SPLIT($V$1, CHAR(10)), NOT(REGEXMATCH(SPLIT($V$1, CHAR(10)), ""\?|\\"")))), ROW()-ROW($T$1:$T$"&amp;"300)))"),"")</f>
        <v/>
      </c>
      <c r="W229" s="16">
        <f t="shared" si="1"/>
        <v>263</v>
      </c>
    </row>
    <row r="230">
      <c r="R230" s="35"/>
      <c r="S230" s="31" t="str">
        <f t="shared" si="2"/>
        <v/>
      </c>
      <c r="T230" s="32"/>
      <c r="V230" s="16" t="str">
        <f>IFERROR(__xludf.DUMMYFUNCTION("IF(ISERROR(INDEX(IFERROR(FILTER(SPLIT($V$1, CHAR(10)), NOT(REGEXMATCH(SPLIT($V$1, CHAR(10)), ""\?|\\"")))), ROW()-ROW($T$1:$T$194))), """", INDEX(IFERROR(FILTER(SPLIT($V$1, CHAR(10)), NOT(REGEXMATCH(SPLIT($V$1, CHAR(10)), ""\?|\\"")))), ROW()-ROW($T$1:$T$"&amp;"300)))"),"")</f>
        <v/>
      </c>
      <c r="W230" s="16">
        <f t="shared" si="1"/>
        <v>263</v>
      </c>
    </row>
    <row r="231">
      <c r="R231" s="35"/>
      <c r="S231" s="31" t="str">
        <f t="shared" si="2"/>
        <v/>
      </c>
      <c r="T231" s="32"/>
      <c r="V231" s="16" t="str">
        <f>IFERROR(__xludf.DUMMYFUNCTION("IF(ISERROR(INDEX(IFERROR(FILTER(SPLIT($V$1, CHAR(10)), NOT(REGEXMATCH(SPLIT($V$1, CHAR(10)), ""\?|\\"")))), ROW()-ROW($T$1:$T$194))), """", INDEX(IFERROR(FILTER(SPLIT($V$1, CHAR(10)), NOT(REGEXMATCH(SPLIT($V$1, CHAR(10)), ""\?|\\"")))), ROW()-ROW($T$1:$T$"&amp;"300)))"),"")</f>
        <v/>
      </c>
      <c r="W231" s="16">
        <f t="shared" si="1"/>
        <v>263</v>
      </c>
    </row>
    <row r="232">
      <c r="R232" s="35"/>
      <c r="S232" s="31" t="str">
        <f t="shared" si="2"/>
        <v/>
      </c>
      <c r="T232" s="32"/>
      <c r="V232" s="16" t="str">
        <f>IFERROR(__xludf.DUMMYFUNCTION("IF(ISERROR(INDEX(IFERROR(FILTER(SPLIT($V$1, CHAR(10)), NOT(REGEXMATCH(SPLIT($V$1, CHAR(10)), ""\?|\\"")))), ROW()-ROW($T$1:$T$194))), """", INDEX(IFERROR(FILTER(SPLIT($V$1, CHAR(10)), NOT(REGEXMATCH(SPLIT($V$1, CHAR(10)), ""\?|\\"")))), ROW()-ROW($T$1:$T$"&amp;"300)))"),"")</f>
        <v/>
      </c>
      <c r="W232" s="16">
        <f t="shared" si="1"/>
        <v>263</v>
      </c>
    </row>
    <row r="233">
      <c r="R233" s="35"/>
      <c r="S233" s="31" t="str">
        <f t="shared" si="2"/>
        <v/>
      </c>
      <c r="T233" s="32"/>
      <c r="V233" s="16" t="str">
        <f>IFERROR(__xludf.DUMMYFUNCTION("IF(ISERROR(INDEX(IFERROR(FILTER(SPLIT($V$1, CHAR(10)), NOT(REGEXMATCH(SPLIT($V$1, CHAR(10)), ""\?|\\"")))), ROW()-ROW($T$1:$T$194))), """", INDEX(IFERROR(FILTER(SPLIT($V$1, CHAR(10)), NOT(REGEXMATCH(SPLIT($V$1, CHAR(10)), ""\?|\\"")))), ROW()-ROW($T$1:$T$"&amp;"300)))"),"")</f>
        <v/>
      </c>
      <c r="W233" s="16">
        <f t="shared" si="1"/>
        <v>263</v>
      </c>
    </row>
    <row r="234">
      <c r="R234" s="35"/>
      <c r="S234" s="31" t="str">
        <f t="shared" si="2"/>
        <v/>
      </c>
      <c r="T234" s="32"/>
      <c r="V234" s="16" t="str">
        <f>IFERROR(__xludf.DUMMYFUNCTION("IF(ISERROR(INDEX(IFERROR(FILTER(SPLIT($V$1, CHAR(10)), NOT(REGEXMATCH(SPLIT($V$1, CHAR(10)), ""\?|\\"")))), ROW()-ROW($T$1:$T$194))), """", INDEX(IFERROR(FILTER(SPLIT($V$1, CHAR(10)), NOT(REGEXMATCH(SPLIT($V$1, CHAR(10)), ""\?|\\"")))), ROW()-ROW($T$1:$T$"&amp;"300)))"),"")</f>
        <v/>
      </c>
      <c r="W234" s="16">
        <f t="shared" si="1"/>
        <v>263</v>
      </c>
    </row>
    <row r="235">
      <c r="R235" s="35"/>
      <c r="S235" s="31" t="str">
        <f t="shared" si="2"/>
        <v/>
      </c>
      <c r="T235" s="32"/>
      <c r="V235" s="16" t="str">
        <f>IFERROR(__xludf.DUMMYFUNCTION("IF(ISERROR(INDEX(IFERROR(FILTER(SPLIT($V$1, CHAR(10)), NOT(REGEXMATCH(SPLIT($V$1, CHAR(10)), ""\?|\\"")))), ROW()-ROW($T$1:$T$194))), """", INDEX(IFERROR(FILTER(SPLIT($V$1, CHAR(10)), NOT(REGEXMATCH(SPLIT($V$1, CHAR(10)), ""\?|\\"")))), ROW()-ROW($T$1:$T$"&amp;"300)))"),"")</f>
        <v/>
      </c>
      <c r="W235" s="16">
        <f t="shared" si="1"/>
        <v>263</v>
      </c>
    </row>
    <row r="236">
      <c r="R236" s="35"/>
      <c r="S236" s="31" t="str">
        <f t="shared" si="2"/>
        <v/>
      </c>
      <c r="T236" s="32"/>
      <c r="V236" s="16" t="str">
        <f>IFERROR(__xludf.DUMMYFUNCTION("IF(ISERROR(INDEX(IFERROR(FILTER(SPLIT($V$1, CHAR(10)), NOT(REGEXMATCH(SPLIT($V$1, CHAR(10)), ""\?|\\"")))), ROW()-ROW($T$1:$T$194))), """", INDEX(IFERROR(FILTER(SPLIT($V$1, CHAR(10)), NOT(REGEXMATCH(SPLIT($V$1, CHAR(10)), ""\?|\\"")))), ROW()-ROW($T$1:$T$"&amp;"300)))"),"")</f>
        <v/>
      </c>
      <c r="W236" s="16">
        <f t="shared" si="1"/>
        <v>263</v>
      </c>
    </row>
    <row r="237">
      <c r="R237" s="35"/>
      <c r="S237" s="31" t="str">
        <f t="shared" si="2"/>
        <v/>
      </c>
      <c r="T237" s="32"/>
      <c r="V237" s="16" t="str">
        <f>IFERROR(__xludf.DUMMYFUNCTION("IF(ISERROR(INDEX(IFERROR(FILTER(SPLIT($V$1, CHAR(10)), NOT(REGEXMATCH(SPLIT($V$1, CHAR(10)), ""\?|\\"")))), ROW()-ROW($T$1:$T$194))), """", INDEX(IFERROR(FILTER(SPLIT($V$1, CHAR(10)), NOT(REGEXMATCH(SPLIT($V$1, CHAR(10)), ""\?|\\"")))), ROW()-ROW($T$1:$T$"&amp;"300)))"),"")</f>
        <v/>
      </c>
      <c r="W237" s="16">
        <f t="shared" si="1"/>
        <v>263</v>
      </c>
    </row>
    <row r="238">
      <c r="R238" s="35"/>
      <c r="S238" s="31" t="str">
        <f t="shared" si="2"/>
        <v/>
      </c>
      <c r="T238" s="32"/>
      <c r="V238" s="16" t="str">
        <f>IFERROR(__xludf.DUMMYFUNCTION("IF(ISERROR(INDEX(IFERROR(FILTER(SPLIT($V$1, CHAR(10)), NOT(REGEXMATCH(SPLIT($V$1, CHAR(10)), ""\?|\\"")))), ROW()-ROW($T$1:$T$194))), """", INDEX(IFERROR(FILTER(SPLIT($V$1, CHAR(10)), NOT(REGEXMATCH(SPLIT($V$1, CHAR(10)), ""\?|\\"")))), ROW()-ROW($T$1:$T$"&amp;"300)))"),"")</f>
        <v/>
      </c>
      <c r="W238" s="16">
        <f t="shared" si="1"/>
        <v>263</v>
      </c>
    </row>
    <row r="239">
      <c r="R239" s="35"/>
      <c r="S239" s="31" t="str">
        <f t="shared" si="2"/>
        <v/>
      </c>
      <c r="T239" s="32"/>
      <c r="V239" s="16" t="str">
        <f>IFERROR(__xludf.DUMMYFUNCTION("IF(ISERROR(INDEX(IFERROR(FILTER(SPLIT($V$1, CHAR(10)), NOT(REGEXMATCH(SPLIT($V$1, CHAR(10)), ""\?|\\"")))), ROW()-ROW($T$1:$T$194))), """", INDEX(IFERROR(FILTER(SPLIT($V$1, CHAR(10)), NOT(REGEXMATCH(SPLIT($V$1, CHAR(10)), ""\?|\\"")))), ROW()-ROW($T$1:$T$"&amp;"300)))"),"")</f>
        <v/>
      </c>
      <c r="W239" s="16">
        <f t="shared" si="1"/>
        <v>263</v>
      </c>
    </row>
    <row r="240">
      <c r="R240" s="35"/>
      <c r="S240" s="31" t="str">
        <f t="shared" si="2"/>
        <v/>
      </c>
      <c r="T240" s="32"/>
      <c r="V240" s="16" t="str">
        <f>IFERROR(__xludf.DUMMYFUNCTION("IF(ISERROR(INDEX(IFERROR(FILTER(SPLIT($V$1, CHAR(10)), NOT(REGEXMATCH(SPLIT($V$1, CHAR(10)), ""\?|\\"")))), ROW()-ROW($T$1:$T$194))), """", INDEX(IFERROR(FILTER(SPLIT($V$1, CHAR(10)), NOT(REGEXMATCH(SPLIT($V$1, CHAR(10)), ""\?|\\"")))), ROW()-ROW($T$1:$T$"&amp;"300)))"),"")</f>
        <v/>
      </c>
      <c r="W240" s="16">
        <f t="shared" si="1"/>
        <v>263</v>
      </c>
    </row>
    <row r="241">
      <c r="R241" s="35"/>
      <c r="S241" s="31" t="str">
        <f t="shared" si="2"/>
        <v/>
      </c>
      <c r="T241" s="32"/>
      <c r="V241" s="16" t="str">
        <f>IFERROR(__xludf.DUMMYFUNCTION("IF(ISERROR(INDEX(IFERROR(FILTER(SPLIT($V$1, CHAR(10)), NOT(REGEXMATCH(SPLIT($V$1, CHAR(10)), ""\?|\\"")))), ROW()-ROW($T$1:$T$194))), """", INDEX(IFERROR(FILTER(SPLIT($V$1, CHAR(10)), NOT(REGEXMATCH(SPLIT($V$1, CHAR(10)), ""\?|\\"")))), ROW()-ROW($T$1:$T$"&amp;"300)))"),"")</f>
        <v/>
      </c>
      <c r="W241" s="16">
        <f t="shared" si="1"/>
        <v>263</v>
      </c>
    </row>
    <row r="242">
      <c r="R242" s="35"/>
      <c r="S242" s="31" t="str">
        <f t="shared" si="2"/>
        <v/>
      </c>
      <c r="T242" s="32"/>
      <c r="V242" s="16" t="str">
        <f>IFERROR(__xludf.DUMMYFUNCTION("IF(ISERROR(INDEX(IFERROR(FILTER(SPLIT($V$1, CHAR(10)), NOT(REGEXMATCH(SPLIT($V$1, CHAR(10)), ""\?|\\"")))), ROW()-ROW($T$1:$T$194))), """", INDEX(IFERROR(FILTER(SPLIT($V$1, CHAR(10)), NOT(REGEXMATCH(SPLIT($V$1, CHAR(10)), ""\?|\\"")))), ROW()-ROW($T$1:$T$"&amp;"300)))"),"")</f>
        <v/>
      </c>
      <c r="W242" s="16">
        <f t="shared" si="1"/>
        <v>263</v>
      </c>
    </row>
    <row r="243">
      <c r="R243" s="35"/>
      <c r="S243" s="31" t="str">
        <f t="shared" si="2"/>
        <v/>
      </c>
      <c r="T243" s="32"/>
      <c r="V243" s="16" t="str">
        <f>IFERROR(__xludf.DUMMYFUNCTION("IF(ISERROR(INDEX(IFERROR(FILTER(SPLIT($V$1, CHAR(10)), NOT(REGEXMATCH(SPLIT($V$1, CHAR(10)), ""\?|\\"")))), ROW()-ROW($T$1:$T$194))), """", INDEX(IFERROR(FILTER(SPLIT($V$1, CHAR(10)), NOT(REGEXMATCH(SPLIT($V$1, CHAR(10)), ""\?|\\"")))), ROW()-ROW($T$1:$T$"&amp;"300)))"),"")</f>
        <v/>
      </c>
      <c r="W243" s="16">
        <f t="shared" si="1"/>
        <v>263</v>
      </c>
    </row>
    <row r="244">
      <c r="R244" s="35"/>
      <c r="S244" s="31" t="str">
        <f t="shared" si="2"/>
        <v/>
      </c>
      <c r="T244" s="32"/>
      <c r="V244" s="16" t="str">
        <f>IFERROR(__xludf.DUMMYFUNCTION("IF(ISERROR(INDEX(IFERROR(FILTER(SPLIT($V$1, CHAR(10)), NOT(REGEXMATCH(SPLIT($V$1, CHAR(10)), ""\?|\\"")))), ROW()-ROW($T$1:$T$194))), """", INDEX(IFERROR(FILTER(SPLIT($V$1, CHAR(10)), NOT(REGEXMATCH(SPLIT($V$1, CHAR(10)), ""\?|\\"")))), ROW()-ROW($T$1:$T$"&amp;"300)))"),"")</f>
        <v/>
      </c>
      <c r="W244" s="16">
        <f t="shared" si="1"/>
        <v>263</v>
      </c>
    </row>
    <row r="245">
      <c r="R245" s="35"/>
      <c r="S245" s="31" t="str">
        <f t="shared" si="2"/>
        <v/>
      </c>
      <c r="T245" s="32"/>
      <c r="V245" s="16" t="str">
        <f>IFERROR(__xludf.DUMMYFUNCTION("IF(ISERROR(INDEX(IFERROR(FILTER(SPLIT($V$1, CHAR(10)), NOT(REGEXMATCH(SPLIT($V$1, CHAR(10)), ""\?|\\"")))), ROW()-ROW($T$1:$T$194))), """", INDEX(IFERROR(FILTER(SPLIT($V$1, CHAR(10)), NOT(REGEXMATCH(SPLIT($V$1, CHAR(10)), ""\?|\\"")))), ROW()-ROW($T$1:$T$"&amp;"300)))"),"")</f>
        <v/>
      </c>
      <c r="W245" s="16">
        <f t="shared" si="1"/>
        <v>263</v>
      </c>
    </row>
    <row r="246">
      <c r="R246" s="35"/>
      <c r="S246" s="31" t="str">
        <f t="shared" si="2"/>
        <v/>
      </c>
      <c r="T246" s="32"/>
      <c r="V246" s="16" t="str">
        <f>IFERROR(__xludf.DUMMYFUNCTION("IF(ISERROR(INDEX(IFERROR(FILTER(SPLIT($V$1, CHAR(10)), NOT(REGEXMATCH(SPLIT($V$1, CHAR(10)), ""\?|\\"")))), ROW()-ROW($T$1:$T$194))), """", INDEX(IFERROR(FILTER(SPLIT($V$1, CHAR(10)), NOT(REGEXMATCH(SPLIT($V$1, CHAR(10)), ""\?|\\"")))), ROW()-ROW($T$1:$T$"&amp;"300)))"),"")</f>
        <v/>
      </c>
      <c r="W246" s="16">
        <f t="shared" si="1"/>
        <v>263</v>
      </c>
    </row>
    <row r="247">
      <c r="R247" s="35"/>
      <c r="S247" s="31" t="str">
        <f t="shared" si="2"/>
        <v/>
      </c>
      <c r="T247" s="32"/>
      <c r="V247" s="16" t="str">
        <f>IFERROR(__xludf.DUMMYFUNCTION("IF(ISERROR(INDEX(IFERROR(FILTER(SPLIT($V$1, CHAR(10)), NOT(REGEXMATCH(SPLIT($V$1, CHAR(10)), ""\?|\\"")))), ROW()-ROW($T$1:$T$194))), """", INDEX(IFERROR(FILTER(SPLIT($V$1, CHAR(10)), NOT(REGEXMATCH(SPLIT($V$1, CHAR(10)), ""\?|\\"")))), ROW()-ROW($T$1:$T$"&amp;"300)))"),"")</f>
        <v/>
      </c>
      <c r="W247" s="16">
        <f t="shared" si="1"/>
        <v>263</v>
      </c>
    </row>
    <row r="248">
      <c r="R248" s="35"/>
      <c r="S248" s="31" t="str">
        <f t="shared" si="2"/>
        <v/>
      </c>
      <c r="T248" s="32"/>
      <c r="V248" s="16" t="str">
        <f>IFERROR(__xludf.DUMMYFUNCTION("IF(ISERROR(INDEX(IFERROR(FILTER(SPLIT($V$1, CHAR(10)), NOT(REGEXMATCH(SPLIT($V$1, CHAR(10)), ""\?|\\"")))), ROW()-ROW($T$1:$T$194))), """", INDEX(IFERROR(FILTER(SPLIT($V$1, CHAR(10)), NOT(REGEXMATCH(SPLIT($V$1, CHAR(10)), ""\?|\\"")))), ROW()-ROW($T$1:$T$"&amp;"300)))"),"")</f>
        <v/>
      </c>
      <c r="W248" s="16">
        <f t="shared" si="1"/>
        <v>263</v>
      </c>
    </row>
    <row r="249">
      <c r="R249" s="35"/>
      <c r="S249" s="31" t="str">
        <f t="shared" si="2"/>
        <v/>
      </c>
      <c r="T249" s="32"/>
      <c r="V249" s="16" t="str">
        <f>IFERROR(__xludf.DUMMYFUNCTION("IF(ISERROR(INDEX(IFERROR(FILTER(SPLIT($V$1, CHAR(10)), NOT(REGEXMATCH(SPLIT($V$1, CHAR(10)), ""\?|\\"")))), ROW()-ROW($T$1:$T$194))), """", INDEX(IFERROR(FILTER(SPLIT($V$1, CHAR(10)), NOT(REGEXMATCH(SPLIT($V$1, CHAR(10)), ""\?|\\"")))), ROW()-ROW($T$1:$T$"&amp;"300)))"),"")</f>
        <v/>
      </c>
      <c r="W249" s="16">
        <f t="shared" si="1"/>
        <v>263</v>
      </c>
    </row>
    <row r="250">
      <c r="R250" s="35"/>
      <c r="S250" s="31" t="str">
        <f t="shared" si="2"/>
        <v/>
      </c>
      <c r="T250" s="32"/>
      <c r="V250" s="16" t="str">
        <f>IFERROR(__xludf.DUMMYFUNCTION("IF(ISERROR(INDEX(IFERROR(FILTER(SPLIT($V$1, CHAR(10)), NOT(REGEXMATCH(SPLIT($V$1, CHAR(10)), ""\?|\\"")))), ROW()-ROW($T$1:$T$194))), """", INDEX(IFERROR(FILTER(SPLIT($V$1, CHAR(10)), NOT(REGEXMATCH(SPLIT($V$1, CHAR(10)), ""\?|\\"")))), ROW()-ROW($T$1:$T$"&amp;"300)))"),"")</f>
        <v/>
      </c>
      <c r="W250" s="16">
        <f t="shared" si="1"/>
        <v>263</v>
      </c>
    </row>
    <row r="251">
      <c r="R251" s="35"/>
      <c r="S251" s="31" t="str">
        <f t="shared" si="2"/>
        <v/>
      </c>
      <c r="T251" s="32"/>
      <c r="V251" s="16" t="str">
        <f>IFERROR(__xludf.DUMMYFUNCTION("IF(ISERROR(INDEX(IFERROR(FILTER(SPLIT($V$1, CHAR(10)), NOT(REGEXMATCH(SPLIT($V$1, CHAR(10)), ""\?|\\"")))), ROW()-ROW($T$1:$T$194))), """", INDEX(IFERROR(FILTER(SPLIT($V$1, CHAR(10)), NOT(REGEXMATCH(SPLIT($V$1, CHAR(10)), ""\?|\\"")))), ROW()-ROW($T$1:$T$"&amp;"300)))"),"")</f>
        <v/>
      </c>
      <c r="W251" s="16">
        <f t="shared" si="1"/>
        <v>263</v>
      </c>
    </row>
    <row r="252">
      <c r="R252" s="35"/>
      <c r="S252" s="31" t="str">
        <f t="shared" si="2"/>
        <v/>
      </c>
      <c r="T252" s="32"/>
      <c r="V252" s="16" t="str">
        <f>IFERROR(__xludf.DUMMYFUNCTION("IF(ISERROR(INDEX(IFERROR(FILTER(SPLIT($V$1, CHAR(10)), NOT(REGEXMATCH(SPLIT($V$1, CHAR(10)), ""\?|\\"")))), ROW()-ROW($T$1:$T$194))), """", INDEX(IFERROR(FILTER(SPLIT($V$1, CHAR(10)), NOT(REGEXMATCH(SPLIT($V$1, CHAR(10)), ""\?|\\"")))), ROW()-ROW($T$1:$T$"&amp;"300)))"),"")</f>
        <v/>
      </c>
      <c r="W252" s="16">
        <f t="shared" si="1"/>
        <v>263</v>
      </c>
    </row>
    <row r="253">
      <c r="R253" s="35"/>
      <c r="S253" s="31" t="str">
        <f t="shared" si="2"/>
        <v/>
      </c>
      <c r="T253" s="32"/>
      <c r="V253" s="16" t="str">
        <f>IFERROR(__xludf.DUMMYFUNCTION("IF(ISERROR(INDEX(IFERROR(FILTER(SPLIT($V$1, CHAR(10)), NOT(REGEXMATCH(SPLIT($V$1, CHAR(10)), ""\?|\\"")))), ROW()-ROW($T$1:$T$194))), """", INDEX(IFERROR(FILTER(SPLIT($V$1, CHAR(10)), NOT(REGEXMATCH(SPLIT($V$1, CHAR(10)), ""\?|\\"")))), ROW()-ROW($T$1:$T$"&amp;"300)))"),"")</f>
        <v/>
      </c>
      <c r="W253" s="16">
        <f t="shared" si="1"/>
        <v>263</v>
      </c>
    </row>
    <row r="254">
      <c r="R254" s="35"/>
      <c r="S254" s="31" t="str">
        <f t="shared" si="2"/>
        <v/>
      </c>
      <c r="T254" s="32"/>
      <c r="V254" s="16" t="str">
        <f>IFERROR(__xludf.DUMMYFUNCTION("IF(ISERROR(INDEX(IFERROR(FILTER(SPLIT($V$1, CHAR(10)), NOT(REGEXMATCH(SPLIT($V$1, CHAR(10)), ""\?|\\"")))), ROW()-ROW($T$1:$T$194))), """", INDEX(IFERROR(FILTER(SPLIT($V$1, CHAR(10)), NOT(REGEXMATCH(SPLIT($V$1, CHAR(10)), ""\?|\\"")))), ROW()-ROW($T$1:$T$"&amp;"300)))"),"")</f>
        <v/>
      </c>
      <c r="W254" s="16">
        <f t="shared" si="1"/>
        <v>263</v>
      </c>
    </row>
    <row r="255">
      <c r="R255" s="35"/>
      <c r="S255" s="31" t="str">
        <f t="shared" si="2"/>
        <v/>
      </c>
      <c r="T255" s="32"/>
      <c r="V255" s="16" t="str">
        <f>IFERROR(__xludf.DUMMYFUNCTION("IF(ISERROR(INDEX(IFERROR(FILTER(SPLIT($V$1, CHAR(10)), NOT(REGEXMATCH(SPLIT($V$1, CHAR(10)), ""\?|\\"")))), ROW()-ROW($T$1:$T$194))), """", INDEX(IFERROR(FILTER(SPLIT($V$1, CHAR(10)), NOT(REGEXMATCH(SPLIT($V$1, CHAR(10)), ""\?|\\"")))), ROW()-ROW($T$1:$T$"&amp;"300)))"),"")</f>
        <v/>
      </c>
      <c r="W255" s="16">
        <f t="shared" si="1"/>
        <v>263</v>
      </c>
    </row>
    <row r="256">
      <c r="R256" s="35"/>
      <c r="S256" s="31" t="str">
        <f t="shared" si="2"/>
        <v/>
      </c>
      <c r="T256" s="32"/>
      <c r="V256" s="16" t="str">
        <f>IFERROR(__xludf.DUMMYFUNCTION("IF(ISERROR(INDEX(IFERROR(FILTER(SPLIT($V$1, CHAR(10)), NOT(REGEXMATCH(SPLIT($V$1, CHAR(10)), ""\?|\\"")))), ROW()-ROW($T$1:$T$194))), """", INDEX(IFERROR(FILTER(SPLIT($V$1, CHAR(10)), NOT(REGEXMATCH(SPLIT($V$1, CHAR(10)), ""\?|\\"")))), ROW()-ROW($T$1:$T$"&amp;"300)))"),"")</f>
        <v/>
      </c>
      <c r="W256" s="16">
        <f t="shared" si="1"/>
        <v>263</v>
      </c>
    </row>
    <row r="257">
      <c r="R257" s="35"/>
      <c r="S257" s="31" t="str">
        <f t="shared" si="2"/>
        <v/>
      </c>
      <c r="T257" s="32"/>
      <c r="V257" s="16" t="str">
        <f>IFERROR(__xludf.DUMMYFUNCTION("IF(ISERROR(INDEX(IFERROR(FILTER(SPLIT($V$1, CHAR(10)), NOT(REGEXMATCH(SPLIT($V$1, CHAR(10)), ""\?|\\"")))), ROW()-ROW($T$1:$T$194))), """", INDEX(IFERROR(FILTER(SPLIT($V$1, CHAR(10)), NOT(REGEXMATCH(SPLIT($V$1, CHAR(10)), ""\?|\\"")))), ROW()-ROW($T$1:$T$"&amp;"300)))"),"")</f>
        <v/>
      </c>
      <c r="W257" s="16">
        <f t="shared" si="1"/>
        <v>263</v>
      </c>
    </row>
    <row r="258">
      <c r="R258" s="35"/>
      <c r="S258" s="31" t="str">
        <f t="shared" si="2"/>
        <v/>
      </c>
      <c r="T258" s="32"/>
      <c r="V258" s="16" t="str">
        <f>IFERROR(__xludf.DUMMYFUNCTION("IF(ISERROR(INDEX(IFERROR(FILTER(SPLIT($V$1, CHAR(10)), NOT(REGEXMATCH(SPLIT($V$1, CHAR(10)), ""\?|\\"")))), ROW()-ROW($T$1:$T$194))), """", INDEX(IFERROR(FILTER(SPLIT($V$1, CHAR(10)), NOT(REGEXMATCH(SPLIT($V$1, CHAR(10)), ""\?|\\"")))), ROW()-ROW($T$1:$T$"&amp;"300)))"),"")</f>
        <v/>
      </c>
      <c r="W258" s="16">
        <f t="shared" si="1"/>
        <v>263</v>
      </c>
    </row>
    <row r="259">
      <c r="R259" s="35"/>
      <c r="S259" s="31" t="str">
        <f t="shared" si="2"/>
        <v/>
      </c>
      <c r="T259" s="32"/>
      <c r="V259" s="16" t="str">
        <f>IFERROR(__xludf.DUMMYFUNCTION("IF(ISERROR(INDEX(IFERROR(FILTER(SPLIT($V$1, CHAR(10)), NOT(REGEXMATCH(SPLIT($V$1, CHAR(10)), ""\?|\\"")))), ROW()-ROW($T$1:$T$194))), """", INDEX(IFERROR(FILTER(SPLIT($V$1, CHAR(10)), NOT(REGEXMATCH(SPLIT($V$1, CHAR(10)), ""\?|\\"")))), ROW()-ROW($T$1:$T$"&amp;"300)))"),"")</f>
        <v/>
      </c>
      <c r="W259" s="16">
        <f t="shared" si="1"/>
        <v>263</v>
      </c>
    </row>
    <row r="260">
      <c r="R260" s="35"/>
      <c r="S260" s="31" t="str">
        <f t="shared" si="2"/>
        <v/>
      </c>
      <c r="T260" s="32"/>
      <c r="V260" s="16" t="str">
        <f>IFERROR(__xludf.DUMMYFUNCTION("IF(ISERROR(INDEX(IFERROR(FILTER(SPLIT($V$1, CHAR(10)), NOT(REGEXMATCH(SPLIT($V$1, CHAR(10)), ""\?|\\"")))), ROW()-ROW($T$1:$T$194))), """", INDEX(IFERROR(FILTER(SPLIT($V$1, CHAR(10)), NOT(REGEXMATCH(SPLIT($V$1, CHAR(10)), ""\?|\\"")))), ROW()-ROW($T$1:$T$"&amp;"300)))"),"")</f>
        <v/>
      </c>
      <c r="W260" s="16">
        <f t="shared" si="1"/>
        <v>263</v>
      </c>
    </row>
    <row r="261">
      <c r="R261" s="35"/>
      <c r="S261" s="31" t="str">
        <f t="shared" si="2"/>
        <v/>
      </c>
      <c r="T261" s="32"/>
      <c r="V261" s="16" t="str">
        <f>IFERROR(__xludf.DUMMYFUNCTION("IF(ISERROR(INDEX(IFERROR(FILTER(SPLIT($V$1, CHAR(10)), NOT(REGEXMATCH(SPLIT($V$1, CHAR(10)), ""\?|\\"")))), ROW()-ROW($T$1:$T$194))), """", INDEX(IFERROR(FILTER(SPLIT($V$1, CHAR(10)), NOT(REGEXMATCH(SPLIT($V$1, CHAR(10)), ""\?|\\"")))), ROW()-ROW($T$1:$T$"&amp;"300)))"),"")</f>
        <v/>
      </c>
      <c r="W261" s="16">
        <f t="shared" si="1"/>
        <v>263</v>
      </c>
    </row>
    <row r="262">
      <c r="R262" s="35"/>
      <c r="S262" s="31" t="str">
        <f t="shared" si="2"/>
        <v/>
      </c>
      <c r="T262" s="32"/>
      <c r="V262" s="16" t="str">
        <f>IFERROR(__xludf.DUMMYFUNCTION("IF(ISERROR(INDEX(IFERROR(FILTER(SPLIT($V$1, CHAR(10)), NOT(REGEXMATCH(SPLIT($V$1, CHAR(10)), ""\?|\\"")))), ROW()-ROW($T$1:$T$194))), """", INDEX(IFERROR(FILTER(SPLIT($V$1, CHAR(10)), NOT(REGEXMATCH(SPLIT($V$1, CHAR(10)), ""\?|\\"")))), ROW()-ROW($T$1:$T$"&amp;"300)))"),"")</f>
        <v/>
      </c>
      <c r="W262" s="16">
        <f t="shared" si="1"/>
        <v>263</v>
      </c>
    </row>
    <row r="263">
      <c r="R263" s="35"/>
      <c r="S263" s="31" t="str">
        <f t="shared" si="2"/>
        <v/>
      </c>
      <c r="T263" s="32"/>
      <c r="V263" s="16" t="str">
        <f>IFERROR(__xludf.DUMMYFUNCTION("IF(ISERROR(INDEX(IFERROR(FILTER(SPLIT($V$1, CHAR(10)), NOT(REGEXMATCH(SPLIT($V$1, CHAR(10)), ""\?|\\"")))), ROW()-ROW($T$1:$T$194))), """", INDEX(IFERROR(FILTER(SPLIT($V$1, CHAR(10)), NOT(REGEXMATCH(SPLIT($V$1, CHAR(10)), ""\?|\\"")))), ROW()-ROW($T$1:$T$"&amp;"300)))"),"")</f>
        <v/>
      </c>
      <c r="W263" s="16">
        <f t="shared" si="1"/>
        <v>263</v>
      </c>
    </row>
    <row r="264">
      <c r="R264" s="35"/>
      <c r="S264" s="31" t="str">
        <f t="shared" si="2"/>
        <v/>
      </c>
      <c r="T264" s="32"/>
      <c r="V264" s="16" t="str">
        <f>IFERROR(__xludf.DUMMYFUNCTION("IF(ISERROR(INDEX(IFERROR(FILTER(SPLIT($V$1, CHAR(10)), NOT(REGEXMATCH(SPLIT($V$1, CHAR(10)), ""\?|\\"")))), ROW()-ROW($T$1:$T$194))), """", INDEX(IFERROR(FILTER(SPLIT($V$1, CHAR(10)), NOT(REGEXMATCH(SPLIT($V$1, CHAR(10)), ""\?|\\"")))), ROW()-ROW($T$1:$T$"&amp;"300)))"),"")</f>
        <v/>
      </c>
      <c r="W264" s="16">
        <f t="shared" si="1"/>
        <v>263</v>
      </c>
    </row>
    <row r="265">
      <c r="R265" s="35"/>
      <c r="S265" s="31" t="str">
        <f t="shared" si="2"/>
        <v/>
      </c>
      <c r="T265" s="32"/>
      <c r="V265" s="16" t="str">
        <f>IFERROR(__xludf.DUMMYFUNCTION("IF(ISERROR(INDEX(IFERROR(FILTER(SPLIT($V$1, CHAR(10)), NOT(REGEXMATCH(SPLIT($V$1, CHAR(10)), ""\?|\\"")))), ROW()-ROW($T$1:$T$194))), """", INDEX(IFERROR(FILTER(SPLIT($V$1, CHAR(10)), NOT(REGEXMATCH(SPLIT($V$1, CHAR(10)), ""\?|\\"")))), ROW()-ROW($T$1:$T$"&amp;"300)))"),"")</f>
        <v/>
      </c>
      <c r="W265" s="16">
        <f t="shared" si="1"/>
        <v>263</v>
      </c>
    </row>
    <row r="266">
      <c r="R266" s="35"/>
      <c r="S266" s="31" t="str">
        <f t="shared" si="2"/>
        <v/>
      </c>
      <c r="T266" s="32"/>
      <c r="V266" s="16" t="str">
        <f>IFERROR(__xludf.DUMMYFUNCTION("IF(ISERROR(INDEX(IFERROR(FILTER(SPLIT($V$1, CHAR(10)), NOT(REGEXMATCH(SPLIT($V$1, CHAR(10)), ""\?|\\"")))), ROW()-ROW($T$1:$T$194))), """", INDEX(IFERROR(FILTER(SPLIT($V$1, CHAR(10)), NOT(REGEXMATCH(SPLIT($V$1, CHAR(10)), ""\?|\\"")))), ROW()-ROW($T$1:$T$"&amp;"300)))"),"")</f>
        <v/>
      </c>
      <c r="W266" s="16">
        <f t="shared" si="1"/>
        <v>263</v>
      </c>
    </row>
    <row r="267">
      <c r="R267" s="35"/>
      <c r="S267" s="31" t="str">
        <f t="shared" si="2"/>
        <v/>
      </c>
      <c r="T267" s="32"/>
      <c r="V267" s="16" t="str">
        <f>IFERROR(__xludf.DUMMYFUNCTION("IF(ISERROR(INDEX(IFERROR(FILTER(SPLIT($V$1, CHAR(10)), NOT(REGEXMATCH(SPLIT($V$1, CHAR(10)), ""\?|\\"")))), ROW()-ROW($T$1:$T$194))), """", INDEX(IFERROR(FILTER(SPLIT($V$1, CHAR(10)), NOT(REGEXMATCH(SPLIT($V$1, CHAR(10)), ""\?|\\"")))), ROW()-ROW($T$1:$T$"&amp;"300)))"),"")</f>
        <v/>
      </c>
      <c r="W267" s="16">
        <f t="shared" si="1"/>
        <v>263</v>
      </c>
    </row>
    <row r="268">
      <c r="R268" s="35"/>
      <c r="S268" s="31" t="str">
        <f t="shared" si="2"/>
        <v/>
      </c>
      <c r="T268" s="32"/>
      <c r="V268" s="16" t="str">
        <f>IFERROR(__xludf.DUMMYFUNCTION("IF(ISERROR(INDEX(IFERROR(FILTER(SPLIT($V$1, CHAR(10)), NOT(REGEXMATCH(SPLIT($V$1, CHAR(10)), ""\?|\\"")))), ROW()-ROW($T$1:$T$194))), """", INDEX(IFERROR(FILTER(SPLIT($V$1, CHAR(10)), NOT(REGEXMATCH(SPLIT($V$1, CHAR(10)), ""\?|\\"")))), ROW()-ROW($T$1:$T$"&amp;"300)))"),"")</f>
        <v/>
      </c>
      <c r="W268" s="16">
        <f t="shared" si="1"/>
        <v>263</v>
      </c>
    </row>
    <row r="269">
      <c r="R269" s="35"/>
      <c r="S269" s="31" t="str">
        <f t="shared" si="2"/>
        <v/>
      </c>
      <c r="T269" s="32"/>
      <c r="V269" s="16" t="str">
        <f>IFERROR(__xludf.DUMMYFUNCTION("IF(ISERROR(INDEX(IFERROR(FILTER(SPLIT($V$1, CHAR(10)), NOT(REGEXMATCH(SPLIT($V$1, CHAR(10)), ""\?|\\"")))), ROW()-ROW($T$1:$T$194))), """", INDEX(IFERROR(FILTER(SPLIT($V$1, CHAR(10)), NOT(REGEXMATCH(SPLIT($V$1, CHAR(10)), ""\?|\\"")))), ROW()-ROW($T$1:$T$"&amp;"300)))"),"")</f>
        <v/>
      </c>
      <c r="W269" s="16">
        <f t="shared" si="1"/>
        <v>263</v>
      </c>
    </row>
    <row r="270">
      <c r="R270" s="35"/>
      <c r="S270" s="31" t="str">
        <f t="shared" si="2"/>
        <v/>
      </c>
      <c r="T270" s="32"/>
      <c r="V270" s="16" t="str">
        <f>IFERROR(__xludf.DUMMYFUNCTION("IF(ISERROR(INDEX(IFERROR(FILTER(SPLIT($V$1, CHAR(10)), NOT(REGEXMATCH(SPLIT($V$1, CHAR(10)), ""\?|\\"")))), ROW()-ROW($T$1:$T$194))), """", INDEX(IFERROR(FILTER(SPLIT($V$1, CHAR(10)), NOT(REGEXMATCH(SPLIT($V$1, CHAR(10)), ""\?|\\"")))), ROW()-ROW($T$1:$T$"&amp;"300)))"),"")</f>
        <v/>
      </c>
      <c r="W270" s="16">
        <f t="shared" si="1"/>
        <v>263</v>
      </c>
    </row>
    <row r="271">
      <c r="R271" s="35"/>
      <c r="S271" s="31" t="str">
        <f t="shared" si="2"/>
        <v/>
      </c>
      <c r="T271" s="32"/>
      <c r="V271" s="16" t="str">
        <f>IFERROR(__xludf.DUMMYFUNCTION("IF(ISERROR(INDEX(IFERROR(FILTER(SPLIT($V$1, CHAR(10)), NOT(REGEXMATCH(SPLIT($V$1, CHAR(10)), ""\?|\\"")))), ROW()-ROW($T$1:$T$194))), """", INDEX(IFERROR(FILTER(SPLIT($V$1, CHAR(10)), NOT(REGEXMATCH(SPLIT($V$1, CHAR(10)), ""\?|\\"")))), ROW()-ROW($T$1:$T$"&amp;"300)))"),"")</f>
        <v/>
      </c>
      <c r="W271" s="16">
        <f t="shared" si="1"/>
        <v>263</v>
      </c>
    </row>
    <row r="272">
      <c r="R272" s="35"/>
      <c r="S272" s="31" t="str">
        <f t="shared" si="2"/>
        <v/>
      </c>
      <c r="T272" s="32"/>
      <c r="V272" s="16" t="str">
        <f>IFERROR(__xludf.DUMMYFUNCTION("IF(ISERROR(INDEX(IFERROR(FILTER(SPLIT($V$1, CHAR(10)), NOT(REGEXMATCH(SPLIT($V$1, CHAR(10)), ""\?|\\"")))), ROW()-ROW($T$1:$T$194))), """", INDEX(IFERROR(FILTER(SPLIT($V$1, CHAR(10)), NOT(REGEXMATCH(SPLIT($V$1, CHAR(10)), ""\?|\\"")))), ROW()-ROW($T$1:$T$"&amp;"300)))"),"")</f>
        <v/>
      </c>
      <c r="W272" s="16">
        <f t="shared" si="1"/>
        <v>263</v>
      </c>
    </row>
    <row r="273">
      <c r="R273" s="35"/>
      <c r="S273" s="31" t="str">
        <f t="shared" si="2"/>
        <v/>
      </c>
      <c r="T273" s="32"/>
      <c r="V273" s="16" t="str">
        <f>IFERROR(__xludf.DUMMYFUNCTION("IF(ISERROR(INDEX(IFERROR(FILTER(SPLIT($V$1, CHAR(10)), NOT(REGEXMATCH(SPLIT($V$1, CHAR(10)), ""\?|\\"")))), ROW()-ROW($T$1:$T$194))), """", INDEX(IFERROR(FILTER(SPLIT($V$1, CHAR(10)), NOT(REGEXMATCH(SPLIT($V$1, CHAR(10)), ""\?|\\"")))), ROW()-ROW($T$1:$T$"&amp;"300)))"),"")</f>
        <v/>
      </c>
      <c r="W273" s="16">
        <f t="shared" si="1"/>
        <v>263</v>
      </c>
    </row>
    <row r="274">
      <c r="R274" s="35"/>
      <c r="S274" s="31" t="str">
        <f t="shared" si="2"/>
        <v/>
      </c>
      <c r="T274" s="32"/>
      <c r="V274" s="16" t="str">
        <f>IFERROR(__xludf.DUMMYFUNCTION("IF(ISERROR(INDEX(IFERROR(FILTER(SPLIT($V$1, CHAR(10)), NOT(REGEXMATCH(SPLIT($V$1, CHAR(10)), ""\?|\\"")))), ROW()-ROW($T$1:$T$194))), """", INDEX(IFERROR(FILTER(SPLIT($V$1, CHAR(10)), NOT(REGEXMATCH(SPLIT($V$1, CHAR(10)), ""\?|\\"")))), ROW()-ROW($T$1:$T$"&amp;"300)))"),"")</f>
        <v/>
      </c>
      <c r="W274" s="16">
        <f t="shared" si="1"/>
        <v>263</v>
      </c>
    </row>
    <row r="275">
      <c r="R275" s="35"/>
      <c r="S275" s="31" t="str">
        <f t="shared" si="2"/>
        <v/>
      </c>
      <c r="T275" s="32"/>
      <c r="V275" s="16" t="str">
        <f>IFERROR(__xludf.DUMMYFUNCTION("IF(ISERROR(INDEX(IFERROR(FILTER(SPLIT($V$1, CHAR(10)), NOT(REGEXMATCH(SPLIT($V$1, CHAR(10)), ""\?|\\"")))), ROW()-ROW($T$1:$T$194))), """", INDEX(IFERROR(FILTER(SPLIT($V$1, CHAR(10)), NOT(REGEXMATCH(SPLIT($V$1, CHAR(10)), ""\?|\\"")))), ROW()-ROW($T$1:$T$"&amp;"300)))"),"")</f>
        <v/>
      </c>
      <c r="W275" s="16">
        <f t="shared" si="1"/>
        <v>263</v>
      </c>
    </row>
    <row r="276">
      <c r="R276" s="35"/>
      <c r="S276" s="31" t="str">
        <f t="shared" si="2"/>
        <v/>
      </c>
      <c r="T276" s="32"/>
      <c r="V276" s="16" t="str">
        <f>IFERROR(__xludf.DUMMYFUNCTION("IF(ISERROR(INDEX(IFERROR(FILTER(SPLIT($V$1, CHAR(10)), NOT(REGEXMATCH(SPLIT($V$1, CHAR(10)), ""\?|\\"")))), ROW()-ROW($T$1:$T$194))), """", INDEX(IFERROR(FILTER(SPLIT($V$1, CHAR(10)), NOT(REGEXMATCH(SPLIT($V$1, CHAR(10)), ""\?|\\"")))), ROW()-ROW($T$1:$T$"&amp;"300)))"),"")</f>
        <v/>
      </c>
      <c r="W276" s="16">
        <f t="shared" si="1"/>
        <v>263</v>
      </c>
    </row>
    <row r="277">
      <c r="R277" s="35"/>
      <c r="S277" s="31" t="str">
        <f t="shared" si="2"/>
        <v/>
      </c>
      <c r="T277" s="32"/>
      <c r="V277" s="16" t="str">
        <f>IFERROR(__xludf.DUMMYFUNCTION("IF(ISERROR(INDEX(IFERROR(FILTER(SPLIT($V$1, CHAR(10)), NOT(REGEXMATCH(SPLIT($V$1, CHAR(10)), ""\?|\\"")))), ROW()-ROW($T$1:$T$194))), """", INDEX(IFERROR(FILTER(SPLIT($V$1, CHAR(10)), NOT(REGEXMATCH(SPLIT($V$1, CHAR(10)), ""\?|\\"")))), ROW()-ROW($T$1:$T$"&amp;"300)))"),"")</f>
        <v/>
      </c>
      <c r="W277" s="16">
        <f t="shared" si="1"/>
        <v>263</v>
      </c>
    </row>
    <row r="278">
      <c r="R278" s="34"/>
      <c r="S278" s="31" t="str">
        <f t="shared" si="2"/>
        <v/>
      </c>
      <c r="T278" s="32"/>
      <c r="V278" s="16" t="str">
        <f>IFERROR(__xludf.DUMMYFUNCTION("IF(ISERROR(INDEX(IFERROR(FILTER(SPLIT($V$1, CHAR(10)), NOT(REGEXMATCH(SPLIT($V$1, CHAR(10)), ""\?|\\"")))), ROW()-ROW($T$1:$T$194))), """", INDEX(IFERROR(FILTER(SPLIT($V$1, CHAR(10)), NOT(REGEXMATCH(SPLIT($V$1, CHAR(10)), ""\?|\\"")))), ROW()-ROW($T$1:$T$"&amp;"300)))"),"")</f>
        <v/>
      </c>
      <c r="W278" s="16">
        <f t="shared" si="1"/>
        <v>263</v>
      </c>
    </row>
    <row r="279">
      <c r="R279" s="34"/>
      <c r="S279" s="31" t="str">
        <f t="shared" si="2"/>
        <v/>
      </c>
      <c r="T279" s="32"/>
      <c r="V279" s="16" t="str">
        <f>IFERROR(__xludf.DUMMYFUNCTION("IF(ISERROR(INDEX(IFERROR(FILTER(SPLIT($V$1, CHAR(10)), NOT(REGEXMATCH(SPLIT($V$1, CHAR(10)), ""\?|\\"")))), ROW()-ROW($T$1:$T$194))), """", INDEX(IFERROR(FILTER(SPLIT($V$1, CHAR(10)), NOT(REGEXMATCH(SPLIT($V$1, CHAR(10)), ""\?|\\"")))), ROW()-ROW($T$1:$T$"&amp;"300)))"),"")</f>
        <v/>
      </c>
      <c r="W279" s="16">
        <f t="shared" si="1"/>
        <v>263</v>
      </c>
    </row>
    <row r="280">
      <c r="R280" s="34"/>
      <c r="S280" s="31" t="str">
        <f t="shared" si="2"/>
        <v/>
      </c>
      <c r="T280" s="32"/>
      <c r="V280" s="16" t="str">
        <f>IFERROR(__xludf.DUMMYFUNCTION("IF(ISERROR(INDEX(IFERROR(FILTER(SPLIT($V$1, CHAR(10)), NOT(REGEXMATCH(SPLIT($V$1, CHAR(10)), ""\?|\\"")))), ROW()-ROW($T$1:$T$194))), """", INDEX(IFERROR(FILTER(SPLIT($V$1, CHAR(10)), NOT(REGEXMATCH(SPLIT($V$1, CHAR(10)), ""\?|\\"")))), ROW()-ROW($T$1:$T$"&amp;"300)))"),"")</f>
        <v/>
      </c>
      <c r="W280" s="16">
        <f t="shared" si="1"/>
        <v>263</v>
      </c>
    </row>
    <row r="281">
      <c r="R281" s="34"/>
      <c r="S281" s="31" t="str">
        <f t="shared" si="2"/>
        <v/>
      </c>
      <c r="T281" s="32"/>
      <c r="V281" s="16" t="str">
        <f>IFERROR(__xludf.DUMMYFUNCTION("IF(ISERROR(INDEX(IFERROR(FILTER(SPLIT($V$1, CHAR(10)), NOT(REGEXMATCH(SPLIT($V$1, CHAR(10)), ""\?|\\"")))), ROW()-ROW($T$1:$T$194))), """", INDEX(IFERROR(FILTER(SPLIT($V$1, CHAR(10)), NOT(REGEXMATCH(SPLIT($V$1, CHAR(10)), ""\?|\\"")))), ROW()-ROW($T$1:$T$"&amp;"300)))"),"")</f>
        <v/>
      </c>
      <c r="W281" s="16">
        <f t="shared" si="1"/>
        <v>263</v>
      </c>
    </row>
    <row r="282">
      <c r="R282" s="34"/>
      <c r="S282" s="31" t="str">
        <f t="shared" si="2"/>
        <v/>
      </c>
      <c r="T282" s="32"/>
      <c r="V282" s="16" t="str">
        <f>IFERROR(__xludf.DUMMYFUNCTION("IF(ISERROR(INDEX(IFERROR(FILTER(SPLIT($V$1, CHAR(10)), NOT(REGEXMATCH(SPLIT($V$1, CHAR(10)), ""\?|\\"")))), ROW()-ROW($T$1:$T$194))), """", INDEX(IFERROR(FILTER(SPLIT($V$1, CHAR(10)), NOT(REGEXMATCH(SPLIT($V$1, CHAR(10)), ""\?|\\"")))), ROW()-ROW($T$1:$T$"&amp;"300)))"),"")</f>
        <v/>
      </c>
      <c r="W282" s="16">
        <f t="shared" si="1"/>
        <v>263</v>
      </c>
    </row>
    <row r="283">
      <c r="R283" s="34"/>
      <c r="S283" s="31" t="str">
        <f t="shared" si="2"/>
        <v/>
      </c>
      <c r="T283" s="32"/>
      <c r="V283" s="16" t="str">
        <f>IFERROR(__xludf.DUMMYFUNCTION("IF(ISERROR(INDEX(IFERROR(FILTER(SPLIT($V$1, CHAR(10)), NOT(REGEXMATCH(SPLIT($V$1, CHAR(10)), ""\?|\\"")))), ROW()-ROW($T$1:$T$194))), """", INDEX(IFERROR(FILTER(SPLIT($V$1, CHAR(10)), NOT(REGEXMATCH(SPLIT($V$1, CHAR(10)), ""\?|\\"")))), ROW()-ROW($T$1:$T$"&amp;"300)))"),"")</f>
        <v/>
      </c>
      <c r="W283" s="16">
        <f t="shared" si="1"/>
        <v>263</v>
      </c>
    </row>
    <row r="284">
      <c r="R284" s="34"/>
      <c r="S284" s="31" t="str">
        <f t="shared" si="2"/>
        <v/>
      </c>
      <c r="T284" s="32"/>
      <c r="V284" s="16" t="str">
        <f>IFERROR(__xludf.DUMMYFUNCTION("IF(ISERROR(INDEX(IFERROR(FILTER(SPLIT($V$1, CHAR(10)), NOT(REGEXMATCH(SPLIT($V$1, CHAR(10)), ""\?|\\"")))), ROW()-ROW($T$1:$T$194))), """", INDEX(IFERROR(FILTER(SPLIT($V$1, CHAR(10)), NOT(REGEXMATCH(SPLIT($V$1, CHAR(10)), ""\?|\\"")))), ROW()-ROW($T$1:$T$"&amp;"300)))"),"")</f>
        <v/>
      </c>
      <c r="W284" s="16">
        <f t="shared" si="1"/>
        <v>263</v>
      </c>
    </row>
    <row r="285">
      <c r="R285" s="34"/>
      <c r="S285" s="31" t="str">
        <f t="shared" si="2"/>
        <v/>
      </c>
      <c r="T285" s="32"/>
      <c r="V285" s="16" t="str">
        <f>IFERROR(__xludf.DUMMYFUNCTION("IF(ISERROR(INDEX(IFERROR(FILTER(SPLIT($V$1, CHAR(10)), NOT(REGEXMATCH(SPLIT($V$1, CHAR(10)), ""\?|\\"")))), ROW()-ROW($T$1:$T$194))), """", INDEX(IFERROR(FILTER(SPLIT($V$1, CHAR(10)), NOT(REGEXMATCH(SPLIT($V$1, CHAR(10)), ""\?|\\"")))), ROW()-ROW($T$1:$T$"&amp;"300)))"),"")</f>
        <v/>
      </c>
      <c r="W285" s="16">
        <f t="shared" si="1"/>
        <v>263</v>
      </c>
    </row>
    <row r="286">
      <c r="R286" s="34"/>
      <c r="S286" s="31" t="str">
        <f t="shared" si="2"/>
        <v/>
      </c>
      <c r="T286" s="32"/>
      <c r="V286" s="16" t="str">
        <f>IFERROR(__xludf.DUMMYFUNCTION("IF(ISERROR(INDEX(IFERROR(FILTER(SPLIT($V$1, CHAR(10)), NOT(REGEXMATCH(SPLIT($V$1, CHAR(10)), ""\?|\\"")))), ROW()-ROW($T$1:$T$194))), """", INDEX(IFERROR(FILTER(SPLIT($V$1, CHAR(10)), NOT(REGEXMATCH(SPLIT($V$1, CHAR(10)), ""\?|\\"")))), ROW()-ROW($T$1:$T$"&amp;"300)))"),"")</f>
        <v/>
      </c>
      <c r="W286" s="16">
        <f t="shared" si="1"/>
        <v>263</v>
      </c>
    </row>
    <row r="287">
      <c r="R287" s="34"/>
      <c r="S287" s="31" t="str">
        <f t="shared" si="2"/>
        <v/>
      </c>
      <c r="T287" s="32"/>
      <c r="V287" s="16" t="str">
        <f>IFERROR(__xludf.DUMMYFUNCTION("IF(ISERROR(INDEX(IFERROR(FILTER(SPLIT($V$1, CHAR(10)), NOT(REGEXMATCH(SPLIT($V$1, CHAR(10)), ""\?|\\"")))), ROW()-ROW($T$1:$T$194))), """", INDEX(IFERROR(FILTER(SPLIT($V$1, CHAR(10)), NOT(REGEXMATCH(SPLIT($V$1, CHAR(10)), ""\?|\\"")))), ROW()-ROW($T$1:$T$"&amp;"300)))"),"")</f>
        <v/>
      </c>
      <c r="W287" s="16">
        <f t="shared" si="1"/>
        <v>263</v>
      </c>
    </row>
    <row r="288">
      <c r="R288" s="34"/>
      <c r="S288" s="31" t="str">
        <f t="shared" si="2"/>
        <v/>
      </c>
      <c r="T288" s="32"/>
      <c r="V288" s="16" t="str">
        <f>IFERROR(__xludf.DUMMYFUNCTION("IF(ISERROR(INDEX(IFERROR(FILTER(SPLIT($V$1, CHAR(10)), NOT(REGEXMATCH(SPLIT($V$1, CHAR(10)), ""\?|\\"")))), ROW()-ROW($T$1:$T$194))), """", INDEX(IFERROR(FILTER(SPLIT($V$1, CHAR(10)), NOT(REGEXMATCH(SPLIT($V$1, CHAR(10)), ""\?|\\"")))), ROW()-ROW($T$1:$T$"&amp;"300)))"),"")</f>
        <v/>
      </c>
      <c r="W288" s="16">
        <f t="shared" si="1"/>
        <v>263</v>
      </c>
    </row>
    <row r="289">
      <c r="R289" s="34"/>
      <c r="S289" s="31" t="str">
        <f t="shared" si="2"/>
        <v/>
      </c>
      <c r="T289" s="32"/>
      <c r="V289" s="16" t="str">
        <f>IFERROR(__xludf.DUMMYFUNCTION("IF(ISERROR(INDEX(IFERROR(FILTER(SPLIT($V$1, CHAR(10)), NOT(REGEXMATCH(SPLIT($V$1, CHAR(10)), ""\?|\\"")))), ROW()-ROW($T$1:$T$194))), """", INDEX(IFERROR(FILTER(SPLIT($V$1, CHAR(10)), NOT(REGEXMATCH(SPLIT($V$1, CHAR(10)), ""\?|\\"")))), ROW()-ROW($T$1:$T$"&amp;"300)))"),"")</f>
        <v/>
      </c>
      <c r="W289" s="16">
        <f t="shared" si="1"/>
        <v>263</v>
      </c>
    </row>
    <row r="290">
      <c r="R290" s="34"/>
      <c r="S290" s="31" t="str">
        <f t="shared" si="2"/>
        <v/>
      </c>
      <c r="T290" s="32"/>
      <c r="V290" s="16" t="str">
        <f>IFERROR(__xludf.DUMMYFUNCTION("IF(ISERROR(INDEX(IFERROR(FILTER(SPLIT($V$1, CHAR(10)), NOT(REGEXMATCH(SPLIT($V$1, CHAR(10)), ""\?|\\"")))), ROW()-ROW($T$1:$T$194))), """", INDEX(IFERROR(FILTER(SPLIT($V$1, CHAR(10)), NOT(REGEXMATCH(SPLIT($V$1, CHAR(10)), ""\?|\\"")))), ROW()-ROW($T$1:$T$"&amp;"300)))"),"")</f>
        <v/>
      </c>
      <c r="W290" s="16">
        <f t="shared" si="1"/>
        <v>263</v>
      </c>
    </row>
    <row r="291">
      <c r="R291" s="34"/>
      <c r="S291" s="31" t="str">
        <f t="shared" si="2"/>
        <v/>
      </c>
      <c r="T291" s="32"/>
      <c r="V291" s="16" t="str">
        <f>IFERROR(__xludf.DUMMYFUNCTION("IF(ISERROR(INDEX(IFERROR(FILTER(SPLIT($V$1, CHAR(10)), NOT(REGEXMATCH(SPLIT($V$1, CHAR(10)), ""\?|\\"")))), ROW()-ROW($T$1:$T$194))), """", INDEX(IFERROR(FILTER(SPLIT($V$1, CHAR(10)), NOT(REGEXMATCH(SPLIT($V$1, CHAR(10)), ""\?|\\"")))), ROW()-ROW($T$1:$T$"&amp;"300)))"),"")</f>
        <v/>
      </c>
      <c r="W291" s="16">
        <f t="shared" si="1"/>
        <v>263</v>
      </c>
    </row>
    <row r="292">
      <c r="R292" s="34"/>
      <c r="S292" s="31" t="str">
        <f t="shared" si="2"/>
        <v/>
      </c>
      <c r="T292" s="32"/>
      <c r="V292" s="16" t="str">
        <f>IFERROR(__xludf.DUMMYFUNCTION("IF(ISERROR(INDEX(IFERROR(FILTER(SPLIT($V$1, CHAR(10)), NOT(REGEXMATCH(SPLIT($V$1, CHAR(10)), ""\?|\\"")))), ROW()-ROW($T$1:$T$194))), """", INDEX(IFERROR(FILTER(SPLIT($V$1, CHAR(10)), NOT(REGEXMATCH(SPLIT($V$1, CHAR(10)), ""\?|\\"")))), ROW()-ROW($T$1:$T$"&amp;"300)))"),"")</f>
        <v/>
      </c>
      <c r="W292" s="16">
        <f t="shared" si="1"/>
        <v>263</v>
      </c>
    </row>
    <row r="293">
      <c r="R293" s="34"/>
      <c r="S293" s="31" t="str">
        <f t="shared" si="2"/>
        <v/>
      </c>
      <c r="T293" s="32"/>
      <c r="V293" s="16" t="str">
        <f>IFERROR(__xludf.DUMMYFUNCTION("IF(ISERROR(INDEX(IFERROR(FILTER(SPLIT($V$1, CHAR(10)), NOT(REGEXMATCH(SPLIT($V$1, CHAR(10)), ""\?|\\"")))), ROW()-ROW($T$1:$T$194))), """", INDEX(IFERROR(FILTER(SPLIT($V$1, CHAR(10)), NOT(REGEXMATCH(SPLIT($V$1, CHAR(10)), ""\?|\\"")))), ROW()-ROW($T$1:$T$"&amp;"300)))"),"")</f>
        <v/>
      </c>
      <c r="W293" s="16">
        <f t="shared" si="1"/>
        <v>263</v>
      </c>
    </row>
    <row r="294">
      <c r="R294" s="34"/>
      <c r="S294" s="31" t="str">
        <f t="shared" si="2"/>
        <v/>
      </c>
      <c r="T294" s="32"/>
      <c r="V294" s="16" t="str">
        <f>IFERROR(__xludf.DUMMYFUNCTION("IF(ISERROR(INDEX(IFERROR(FILTER(SPLIT($V$1, CHAR(10)), NOT(REGEXMATCH(SPLIT($V$1, CHAR(10)), ""\?|\\"")))), ROW()-ROW($T$1:$T$194))), """", INDEX(IFERROR(FILTER(SPLIT($V$1, CHAR(10)), NOT(REGEXMATCH(SPLIT($V$1, CHAR(10)), ""\?|\\"")))), ROW()-ROW($T$1:$T$"&amp;"300)))"),"")</f>
        <v/>
      </c>
      <c r="W294" s="16">
        <f t="shared" si="1"/>
        <v>263</v>
      </c>
    </row>
    <row r="295">
      <c r="R295" s="34"/>
      <c r="S295" s="31" t="str">
        <f t="shared" si="2"/>
        <v/>
      </c>
      <c r="T295" s="32"/>
      <c r="V295" s="16" t="str">
        <f>IFERROR(__xludf.DUMMYFUNCTION("IF(ISERROR(INDEX(IFERROR(FILTER(SPLIT($V$1, CHAR(10)), NOT(REGEXMATCH(SPLIT($V$1, CHAR(10)), ""\?|\\"")))), ROW()-ROW($T$1:$T$194))), """", INDEX(IFERROR(FILTER(SPLIT($V$1, CHAR(10)), NOT(REGEXMATCH(SPLIT($V$1, CHAR(10)), ""\?|\\"")))), ROW()-ROW($T$1:$T$"&amp;"300)))"),"")</f>
        <v/>
      </c>
      <c r="W295" s="16">
        <f t="shared" si="1"/>
        <v>263</v>
      </c>
    </row>
    <row r="296">
      <c r="R296" s="34"/>
      <c r="S296" s="31" t="str">
        <f t="shared" si="2"/>
        <v/>
      </c>
      <c r="T296" s="32"/>
      <c r="V296" s="16" t="str">
        <f>IFERROR(__xludf.DUMMYFUNCTION("IF(ISERROR(INDEX(IFERROR(FILTER(SPLIT($V$1, CHAR(10)), NOT(REGEXMATCH(SPLIT($V$1, CHAR(10)), ""\?|\\"")))), ROW()-ROW($T$1:$T$194))), """", INDEX(IFERROR(FILTER(SPLIT($V$1, CHAR(10)), NOT(REGEXMATCH(SPLIT($V$1, CHAR(10)), ""\?|\\"")))), ROW()-ROW($T$1:$T$"&amp;"300)))"),"")</f>
        <v/>
      </c>
      <c r="W296" s="16">
        <f t="shared" si="1"/>
        <v>263</v>
      </c>
    </row>
    <row r="297">
      <c r="R297" s="34"/>
      <c r="S297" s="31" t="str">
        <f t="shared" si="2"/>
        <v/>
      </c>
      <c r="T297" s="32"/>
      <c r="V297" s="16" t="str">
        <f>IFERROR(__xludf.DUMMYFUNCTION("IF(ISERROR(INDEX(IFERROR(FILTER(SPLIT($V$1, CHAR(10)), NOT(REGEXMATCH(SPLIT($V$1, CHAR(10)), ""\?|\\"")))), ROW()-ROW($T$1:$T$194))), """", INDEX(IFERROR(FILTER(SPLIT($V$1, CHAR(10)), NOT(REGEXMATCH(SPLIT($V$1, CHAR(10)), ""\?|\\"")))), ROW()-ROW($T$1:$T$"&amp;"300)))"),"")</f>
        <v/>
      </c>
      <c r="W297" s="16">
        <f t="shared" si="1"/>
        <v>263</v>
      </c>
    </row>
    <row r="298">
      <c r="R298" s="34"/>
      <c r="S298" s="31" t="str">
        <f t="shared" si="2"/>
        <v/>
      </c>
      <c r="T298" s="32"/>
      <c r="V298" s="16" t="str">
        <f>IFERROR(__xludf.DUMMYFUNCTION("IF(ISERROR(INDEX(IFERROR(FILTER(SPLIT($V$1, CHAR(10)), NOT(REGEXMATCH(SPLIT($V$1, CHAR(10)), ""\?|\\"")))), ROW()-ROW($T$1:$T$194))), """", INDEX(IFERROR(FILTER(SPLIT($V$1, CHAR(10)), NOT(REGEXMATCH(SPLIT($V$1, CHAR(10)), ""\?|\\"")))), ROW()-ROW($T$1:$T$"&amp;"300)))"),"")</f>
        <v/>
      </c>
      <c r="W298" s="16">
        <f t="shared" si="1"/>
        <v>263</v>
      </c>
    </row>
    <row r="299">
      <c r="R299" s="34"/>
      <c r="S299" s="31" t="str">
        <f t="shared" si="2"/>
        <v/>
      </c>
      <c r="T299" s="32"/>
      <c r="V299" s="16" t="str">
        <f>IFERROR(__xludf.DUMMYFUNCTION("IF(ISERROR(INDEX(IFERROR(FILTER(SPLIT($V$1, CHAR(10)), NOT(REGEXMATCH(SPLIT($V$1, CHAR(10)), ""\?|\\"")))), ROW()-ROW($T$1:$T$194))), """", INDEX(IFERROR(FILTER(SPLIT($V$1, CHAR(10)), NOT(REGEXMATCH(SPLIT($V$1, CHAR(10)), ""\?|\\"")))), ROW()-ROW($T$1:$T$"&amp;"300)))"),"")</f>
        <v/>
      </c>
      <c r="W299" s="16">
        <f t="shared" si="1"/>
        <v>263</v>
      </c>
    </row>
    <row r="300">
      <c r="R300" s="34"/>
      <c r="S300" s="31" t="str">
        <f t="shared" si="2"/>
        <v/>
      </c>
      <c r="T300" s="32"/>
      <c r="V300" s="16" t="str">
        <f>IFERROR(__xludf.DUMMYFUNCTION("IF(ISERROR(INDEX(IFERROR(FILTER(SPLIT($V$1, CHAR(10)), NOT(REGEXMATCH(SPLIT($V$1, CHAR(10)), ""\?|\\"")))), ROW()-ROW($T$1:$T$194))), """", INDEX(IFERROR(FILTER(SPLIT($V$1, CHAR(10)), NOT(REGEXMATCH(SPLIT($V$1, CHAR(10)), ""\?|\\"")))), ROW()-ROW($T$1:$T$"&amp;"300)))"),"")</f>
        <v/>
      </c>
      <c r="W300" s="16">
        <f t="shared" si="1"/>
        <v>263</v>
      </c>
    </row>
    <row r="301">
      <c r="R301" s="34"/>
      <c r="S301" s="51"/>
      <c r="T301" s="51"/>
    </row>
    <row r="302">
      <c r="R302" s="34"/>
      <c r="S302" s="51"/>
      <c r="T302" s="51"/>
    </row>
    <row r="303">
      <c r="R303" s="34"/>
      <c r="S303" s="51"/>
      <c r="T303" s="51"/>
    </row>
    <row r="304">
      <c r="R304" s="34"/>
      <c r="S304" s="51"/>
      <c r="T304" s="51"/>
    </row>
    <row r="305">
      <c r="R305" s="34"/>
      <c r="S305" s="51"/>
      <c r="T305" s="51"/>
    </row>
    <row r="306">
      <c r="R306" s="34"/>
      <c r="S306" s="51"/>
      <c r="T306" s="51"/>
    </row>
    <row r="307">
      <c r="R307" s="34"/>
      <c r="S307" s="51"/>
      <c r="T307" s="51"/>
    </row>
    <row r="308">
      <c r="R308" s="34"/>
      <c r="S308" s="51"/>
      <c r="T308" s="51"/>
    </row>
    <row r="309">
      <c r="R309" s="34"/>
      <c r="S309" s="51"/>
      <c r="T309" s="51"/>
    </row>
    <row r="310">
      <c r="R310" s="34"/>
      <c r="S310" s="51"/>
      <c r="T310" s="51"/>
    </row>
    <row r="311">
      <c r="R311" s="34"/>
      <c r="S311" s="51"/>
      <c r="T311" s="51"/>
    </row>
    <row r="312">
      <c r="R312" s="34"/>
      <c r="S312" s="51"/>
      <c r="T312" s="51"/>
    </row>
    <row r="313">
      <c r="R313" s="34"/>
      <c r="S313" s="51"/>
      <c r="T313" s="51"/>
    </row>
    <row r="314">
      <c r="R314" s="34"/>
      <c r="S314" s="51"/>
      <c r="T314" s="51"/>
    </row>
    <row r="315">
      <c r="R315" s="34"/>
      <c r="S315" s="51"/>
      <c r="T315" s="51"/>
    </row>
    <row r="316">
      <c r="R316" s="34"/>
      <c r="S316" s="51"/>
      <c r="T316" s="51"/>
    </row>
    <row r="317">
      <c r="R317" s="34"/>
      <c r="S317" s="51"/>
      <c r="T317" s="51"/>
    </row>
    <row r="318">
      <c r="R318" s="34"/>
      <c r="S318" s="51"/>
      <c r="T318" s="51"/>
    </row>
    <row r="319">
      <c r="R319" s="34"/>
      <c r="S319" s="51"/>
      <c r="T319" s="51"/>
    </row>
    <row r="320">
      <c r="R320" s="34"/>
      <c r="S320" s="51"/>
      <c r="T320" s="51"/>
    </row>
    <row r="321">
      <c r="R321" s="34"/>
      <c r="S321" s="51"/>
      <c r="T321" s="51"/>
    </row>
    <row r="322">
      <c r="R322" s="34"/>
      <c r="S322" s="51"/>
      <c r="T322" s="51"/>
    </row>
    <row r="323">
      <c r="R323" s="34"/>
      <c r="S323" s="51"/>
      <c r="T323" s="51"/>
    </row>
    <row r="324">
      <c r="R324" s="34"/>
      <c r="S324" s="51"/>
      <c r="T324" s="51"/>
    </row>
    <row r="325">
      <c r="R325" s="34"/>
      <c r="S325" s="51"/>
      <c r="T325" s="51"/>
    </row>
    <row r="326">
      <c r="R326" s="34"/>
      <c r="S326" s="51"/>
      <c r="T326" s="51"/>
    </row>
    <row r="327">
      <c r="R327" s="34"/>
      <c r="S327" s="51"/>
      <c r="T327" s="51"/>
    </row>
    <row r="328">
      <c r="R328" s="34"/>
      <c r="S328" s="51"/>
      <c r="T328" s="51"/>
    </row>
    <row r="329">
      <c r="R329" s="34"/>
      <c r="S329" s="51"/>
      <c r="T329" s="51"/>
    </row>
    <row r="330">
      <c r="R330" s="34"/>
      <c r="S330" s="51"/>
      <c r="T330" s="51"/>
    </row>
    <row r="331">
      <c r="R331" s="34"/>
      <c r="S331" s="51"/>
      <c r="T331" s="51"/>
    </row>
    <row r="332">
      <c r="R332" s="34"/>
      <c r="S332" s="51"/>
      <c r="T332" s="51"/>
    </row>
    <row r="333">
      <c r="R333" s="34"/>
      <c r="S333" s="51"/>
      <c r="T333" s="51"/>
    </row>
    <row r="334">
      <c r="R334" s="34"/>
      <c r="S334" s="51"/>
      <c r="T334" s="51"/>
    </row>
    <row r="335">
      <c r="R335" s="34"/>
      <c r="S335" s="51"/>
      <c r="T335" s="51"/>
    </row>
    <row r="336">
      <c r="R336" s="34"/>
      <c r="S336" s="51"/>
      <c r="T336" s="51"/>
    </row>
    <row r="337">
      <c r="R337" s="34"/>
      <c r="S337" s="51"/>
      <c r="T337" s="51"/>
    </row>
    <row r="338">
      <c r="R338" s="34"/>
      <c r="S338" s="51"/>
      <c r="T338" s="51"/>
    </row>
    <row r="339">
      <c r="R339" s="34"/>
      <c r="S339" s="51"/>
      <c r="T339" s="51"/>
    </row>
    <row r="340">
      <c r="R340" s="34"/>
      <c r="S340" s="51"/>
      <c r="T340" s="51"/>
    </row>
    <row r="341">
      <c r="R341" s="34"/>
      <c r="S341" s="51"/>
      <c r="T341" s="51"/>
    </row>
    <row r="342">
      <c r="R342" s="34"/>
      <c r="S342" s="51"/>
      <c r="T342" s="51"/>
    </row>
    <row r="343">
      <c r="R343" s="34"/>
      <c r="S343" s="51"/>
      <c r="T343" s="51"/>
    </row>
    <row r="344">
      <c r="R344" s="34"/>
      <c r="S344" s="51"/>
      <c r="T344" s="51"/>
    </row>
    <row r="345">
      <c r="R345" s="34"/>
      <c r="S345" s="51"/>
      <c r="T345" s="51"/>
    </row>
    <row r="346">
      <c r="R346" s="34"/>
      <c r="S346" s="51"/>
      <c r="T346" s="51"/>
    </row>
    <row r="347">
      <c r="R347" s="34"/>
      <c r="S347" s="51"/>
      <c r="T347" s="51"/>
    </row>
    <row r="348">
      <c r="R348" s="34"/>
      <c r="S348" s="51"/>
      <c r="T348" s="51"/>
    </row>
    <row r="349">
      <c r="R349" s="34"/>
      <c r="S349" s="51"/>
      <c r="T349" s="51"/>
    </row>
    <row r="350">
      <c r="R350" s="34"/>
      <c r="S350" s="51"/>
      <c r="T350" s="51"/>
    </row>
    <row r="351">
      <c r="R351" s="34"/>
      <c r="S351" s="51"/>
      <c r="T351" s="51"/>
    </row>
    <row r="352">
      <c r="R352" s="34"/>
      <c r="S352" s="51"/>
      <c r="T352" s="51"/>
    </row>
    <row r="353">
      <c r="R353" s="34"/>
      <c r="S353" s="51"/>
      <c r="T353" s="51"/>
    </row>
    <row r="354">
      <c r="R354" s="34"/>
      <c r="S354" s="51"/>
      <c r="T354" s="51"/>
    </row>
    <row r="355">
      <c r="R355" s="34"/>
      <c r="S355" s="51"/>
      <c r="T355" s="51"/>
    </row>
    <row r="356">
      <c r="R356" s="34"/>
      <c r="S356" s="51"/>
      <c r="T356" s="51"/>
    </row>
    <row r="357">
      <c r="R357" s="34"/>
      <c r="S357" s="51"/>
      <c r="T357" s="51"/>
    </row>
    <row r="358">
      <c r="R358" s="34"/>
      <c r="S358" s="51"/>
      <c r="T358" s="51"/>
    </row>
    <row r="359">
      <c r="R359" s="34"/>
      <c r="S359" s="51"/>
      <c r="T359" s="51"/>
    </row>
    <row r="360">
      <c r="R360" s="34"/>
      <c r="S360" s="51"/>
      <c r="T360" s="51"/>
    </row>
    <row r="361">
      <c r="R361" s="34"/>
      <c r="S361" s="51"/>
      <c r="T361" s="51"/>
    </row>
    <row r="362">
      <c r="R362" s="34"/>
      <c r="S362" s="51"/>
      <c r="T362" s="51"/>
    </row>
    <row r="363">
      <c r="R363" s="34"/>
      <c r="S363" s="51"/>
      <c r="T363" s="51"/>
    </row>
    <row r="364">
      <c r="R364" s="34"/>
      <c r="S364" s="51"/>
      <c r="T364" s="51"/>
    </row>
    <row r="365">
      <c r="R365" s="34"/>
      <c r="S365" s="51"/>
      <c r="T365" s="51"/>
    </row>
    <row r="366">
      <c r="R366" s="34"/>
      <c r="S366" s="51"/>
      <c r="T366" s="51"/>
    </row>
    <row r="367">
      <c r="R367" s="34"/>
      <c r="S367" s="51"/>
      <c r="T367" s="51"/>
    </row>
    <row r="368">
      <c r="R368" s="34"/>
      <c r="S368" s="51"/>
      <c r="T368" s="51"/>
    </row>
    <row r="369">
      <c r="R369" s="34"/>
      <c r="S369" s="51"/>
      <c r="T369" s="51"/>
    </row>
    <row r="370">
      <c r="R370" s="34"/>
      <c r="S370" s="51"/>
      <c r="T370" s="51"/>
    </row>
    <row r="371">
      <c r="R371" s="34"/>
      <c r="S371" s="51"/>
      <c r="T371" s="51"/>
    </row>
    <row r="372">
      <c r="R372" s="34"/>
      <c r="S372" s="51"/>
      <c r="T372" s="51"/>
    </row>
    <row r="373">
      <c r="R373" s="34"/>
      <c r="S373" s="51"/>
      <c r="T373" s="51"/>
    </row>
    <row r="374">
      <c r="R374" s="34"/>
      <c r="S374" s="51"/>
      <c r="T374" s="51"/>
    </row>
    <row r="375">
      <c r="R375" s="34"/>
      <c r="S375" s="51"/>
      <c r="T375" s="51"/>
    </row>
    <row r="376">
      <c r="R376" s="34"/>
      <c r="S376" s="51"/>
      <c r="T376" s="51"/>
    </row>
    <row r="377">
      <c r="R377" s="34"/>
      <c r="S377" s="51"/>
      <c r="T377" s="51"/>
    </row>
    <row r="378">
      <c r="R378" s="34"/>
      <c r="S378" s="51"/>
      <c r="T378" s="51"/>
    </row>
    <row r="379">
      <c r="R379" s="34"/>
      <c r="S379" s="51"/>
      <c r="T379" s="51"/>
    </row>
    <row r="380">
      <c r="R380" s="34"/>
      <c r="S380" s="51"/>
      <c r="T380" s="51"/>
    </row>
    <row r="381">
      <c r="R381" s="34"/>
      <c r="S381" s="51"/>
      <c r="T381" s="51"/>
    </row>
    <row r="382">
      <c r="R382" s="34"/>
      <c r="S382" s="51"/>
      <c r="T382" s="51"/>
    </row>
    <row r="383">
      <c r="R383" s="34"/>
      <c r="S383" s="51"/>
      <c r="T383" s="51"/>
    </row>
    <row r="384">
      <c r="R384" s="34"/>
      <c r="S384" s="51"/>
      <c r="T384" s="51"/>
    </row>
    <row r="385">
      <c r="R385" s="34"/>
      <c r="S385" s="51"/>
      <c r="T385" s="51"/>
    </row>
    <row r="386">
      <c r="R386" s="34"/>
      <c r="S386" s="51"/>
      <c r="T386" s="51"/>
    </row>
    <row r="387">
      <c r="R387" s="34"/>
      <c r="S387" s="51"/>
      <c r="T387" s="51"/>
    </row>
    <row r="388">
      <c r="R388" s="34"/>
      <c r="S388" s="51"/>
      <c r="T388" s="51"/>
    </row>
    <row r="389">
      <c r="R389" s="34"/>
      <c r="S389" s="51"/>
      <c r="T389" s="51"/>
    </row>
    <row r="390">
      <c r="R390" s="34"/>
      <c r="S390" s="51"/>
      <c r="T390" s="51"/>
    </row>
    <row r="391">
      <c r="R391" s="34"/>
      <c r="S391" s="51"/>
      <c r="T391" s="51"/>
    </row>
    <row r="392">
      <c r="R392" s="34"/>
      <c r="S392" s="51"/>
      <c r="T392" s="51"/>
    </row>
    <row r="393">
      <c r="R393" s="34"/>
      <c r="S393" s="51"/>
      <c r="T393" s="51"/>
    </row>
    <row r="394">
      <c r="R394" s="34"/>
      <c r="S394" s="51"/>
      <c r="T394" s="51"/>
    </row>
  </sheetData>
  <mergeCells count="38">
    <mergeCell ref="F1:H1"/>
    <mergeCell ref="J1:L1"/>
    <mergeCell ref="N1:P1"/>
    <mergeCell ref="R1:S1"/>
    <mergeCell ref="B2:D3"/>
    <mergeCell ref="B5:D5"/>
    <mergeCell ref="B6:D6"/>
    <mergeCell ref="B22:D22"/>
    <mergeCell ref="F22:H22"/>
    <mergeCell ref="J22:L22"/>
    <mergeCell ref="N22:P22"/>
    <mergeCell ref="B45:D45"/>
    <mergeCell ref="F45:H45"/>
    <mergeCell ref="J45:L45"/>
    <mergeCell ref="N45:P45"/>
    <mergeCell ref="B68:D68"/>
    <mergeCell ref="F68:H68"/>
    <mergeCell ref="J68:L68"/>
    <mergeCell ref="N68:P68"/>
    <mergeCell ref="B91:D91"/>
    <mergeCell ref="F91:H91"/>
    <mergeCell ref="J91:L91"/>
    <mergeCell ref="N91:P91"/>
    <mergeCell ref="F114:H114"/>
    <mergeCell ref="J114:L114"/>
    <mergeCell ref="N114:P114"/>
    <mergeCell ref="B114:D114"/>
    <mergeCell ref="B132:D132"/>
    <mergeCell ref="F132:H132"/>
    <mergeCell ref="J132:L132"/>
    <mergeCell ref="N132:P132"/>
    <mergeCell ref="B8:D8"/>
    <mergeCell ref="B9:D9"/>
    <mergeCell ref="B11:D11"/>
    <mergeCell ref="B12:D12"/>
    <mergeCell ref="B14:D14"/>
    <mergeCell ref="B15:D15"/>
    <mergeCell ref="B17:D17"/>
  </mergeCells>
  <conditionalFormatting sqref="W2:W394 V136">
    <cfRule type="cellIs" dxfId="0" priority="1" operator="greaterThanOrEqual">
      <formula>20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0.43"/>
    <col customWidth="1" min="2" max="2" width="3.29"/>
    <col customWidth="1" min="3" max="3" width="0.57"/>
    <col customWidth="1" min="4" max="4" width="28.43"/>
    <col customWidth="1" min="5" max="5" width="0.57"/>
    <col customWidth="1" min="6" max="6" width="4.71"/>
    <col customWidth="1" min="7" max="7" width="0.57"/>
    <col customWidth="1" min="8" max="8" width="4.71"/>
    <col customWidth="1" min="9" max="9" width="0.57"/>
    <col customWidth="1" min="10" max="10" width="7.57"/>
    <col customWidth="1" min="11" max="11" width="0.57"/>
    <col customWidth="1" min="12" max="12" width="5.14"/>
    <col customWidth="1" min="13" max="13" width="0.57"/>
    <col customWidth="1" min="14" max="14" width="13.57"/>
    <col customWidth="1" min="15" max="15" width="0.43"/>
    <col customWidth="1" min="16" max="16" width="6.57"/>
    <col customWidth="1" min="17" max="17" width="0.43"/>
    <col customWidth="1" min="18" max="18" width="0.57"/>
    <col customWidth="1" min="19" max="19" width="3.86"/>
    <col customWidth="1" min="20" max="20" width="4.71"/>
    <col customWidth="1" min="21" max="21" width="3.86"/>
    <col customWidth="1" min="22" max="22" width="1.14"/>
    <col customWidth="1" min="23" max="23" width="14.86"/>
    <col customWidth="1" min="24" max="24" width="5.43"/>
    <col customWidth="1" min="25" max="25" width="2.14"/>
    <col customWidth="1" min="26" max="26" width="24.29"/>
    <col customWidth="1" min="27" max="27" width="7.0"/>
    <col customWidth="1" min="28" max="30" width="44.86"/>
    <col customWidth="1" min="31" max="31" width="109.29"/>
    <col customWidth="1" min="32" max="32" width="44.86"/>
  </cols>
  <sheetData>
    <row r="1" ht="3.75" customHeight="1">
      <c r="C1" s="52"/>
      <c r="E1" s="53"/>
      <c r="G1" s="53"/>
      <c r="I1" s="53"/>
      <c r="K1" s="53"/>
      <c r="M1" s="52"/>
      <c r="N1" s="54"/>
    </row>
    <row r="2" ht="14.25" customHeight="1">
      <c r="C2" s="55"/>
      <c r="D2" s="56" t="s">
        <v>148</v>
      </c>
      <c r="E2" s="57"/>
      <c r="F2" s="58" t="s">
        <v>149</v>
      </c>
      <c r="G2" s="22"/>
      <c r="H2" s="22"/>
      <c r="I2" s="22"/>
      <c r="J2" s="22"/>
      <c r="K2" s="22"/>
      <c r="L2" s="23"/>
      <c r="M2" s="57"/>
      <c r="N2" s="59" t="s">
        <v>150</v>
      </c>
      <c r="O2" s="22"/>
      <c r="P2" s="22"/>
      <c r="Q2" s="23"/>
      <c r="S2" s="60" t="s">
        <v>151</v>
      </c>
      <c r="T2" s="22"/>
      <c r="U2" s="23"/>
      <c r="W2" s="61" t="s">
        <v>152</v>
      </c>
      <c r="X2" s="62">
        <f>TotalGames/NumberOfDecks</f>
        <v>28.54166667</v>
      </c>
    </row>
    <row r="3">
      <c r="B3" s="63">
        <f>COUNTA($D$6:$D$37)</f>
        <v>24</v>
      </c>
      <c r="C3" s="64"/>
      <c r="D3" s="65" t="s">
        <v>153</v>
      </c>
      <c r="E3" s="66"/>
      <c r="F3" s="67">
        <f>SUM(F6:F36)</f>
        <v>299</v>
      </c>
      <c r="G3" s="68"/>
      <c r="H3" s="67">
        <f>SUM(H6:H37)</f>
        <v>386</v>
      </c>
      <c r="I3" s="69"/>
      <c r="J3" s="70">
        <f>if(L3=0,"",F3/L3)</f>
        <v>0.4364963504</v>
      </c>
      <c r="K3" s="69"/>
      <c r="L3" s="67">
        <f>SUM(L6:L37)</f>
        <v>685</v>
      </c>
      <c r="M3" s="71"/>
      <c r="N3" s="72" t="s">
        <v>154</v>
      </c>
      <c r="O3" s="22"/>
      <c r="P3" s="22"/>
      <c r="Q3" s="22"/>
      <c r="W3" s="73"/>
    </row>
    <row r="4" ht="1.5" customHeight="1">
      <c r="A4" s="74"/>
      <c r="B4" s="75"/>
      <c r="C4" s="76"/>
      <c r="D4" s="77"/>
      <c r="E4" s="76"/>
      <c r="F4" s="76"/>
      <c r="G4" s="52"/>
      <c r="H4" s="76"/>
      <c r="I4" s="76"/>
      <c r="J4" s="78"/>
      <c r="K4" s="76"/>
      <c r="L4" s="76"/>
      <c r="M4" s="76"/>
      <c r="N4" s="54"/>
      <c r="S4" s="79"/>
      <c r="T4" s="79"/>
      <c r="U4" s="79"/>
    </row>
    <row r="5">
      <c r="A5" s="80"/>
      <c r="B5" s="81" t="s">
        <v>155</v>
      </c>
      <c r="C5" s="82"/>
      <c r="D5" s="81" t="s">
        <v>156</v>
      </c>
      <c r="E5" s="82"/>
      <c r="F5" s="83" t="s">
        <v>157</v>
      </c>
      <c r="G5" s="52"/>
      <c r="H5" s="84" t="s">
        <v>158</v>
      </c>
      <c r="I5" s="82"/>
      <c r="J5" s="83" t="s">
        <v>159</v>
      </c>
      <c r="K5" s="82"/>
      <c r="L5" s="84" t="s">
        <v>160</v>
      </c>
      <c r="M5" s="82"/>
      <c r="N5" s="85" t="s">
        <v>161</v>
      </c>
      <c r="O5" s="82"/>
      <c r="P5" s="86" t="s">
        <v>162</v>
      </c>
      <c r="Q5" s="82"/>
      <c r="S5" s="87" t="s">
        <v>163</v>
      </c>
      <c r="T5" s="22"/>
      <c r="U5" s="23"/>
      <c r="W5" s="88" t="s">
        <v>164</v>
      </c>
      <c r="X5" s="23"/>
      <c r="Z5" s="89"/>
      <c r="AF5" s="90" t="s">
        <v>162</v>
      </c>
    </row>
    <row r="6" ht="18.75" customHeight="1">
      <c r="A6" s="91"/>
      <c r="B6" s="92">
        <f t="shared" ref="B6:B37" si="1">B7-1</f>
        <v>1</v>
      </c>
      <c r="C6" s="93"/>
      <c r="D6" s="94" t="s">
        <v>165</v>
      </c>
      <c r="E6" s="95"/>
      <c r="F6" s="96">
        <v>20.0</v>
      </c>
      <c r="G6" s="95"/>
      <c r="H6" s="96">
        <v>33.0</v>
      </c>
      <c r="I6" s="93"/>
      <c r="J6" s="97">
        <f t="shared" ref="J6:J10" si="2">if(L6=0,"",F6/L6)</f>
        <v>0.3773584906</v>
      </c>
      <c r="K6" s="93"/>
      <c r="L6" s="98">
        <f t="shared" ref="L6:L29" si="3">IF(F6="","",(F6+H6))</f>
        <v>53</v>
      </c>
      <c r="M6" s="82"/>
      <c r="N6" s="99">
        <v>46156.64722222222</v>
      </c>
      <c r="O6" s="100"/>
      <c r="P6" s="101" t="s">
        <v>157</v>
      </c>
      <c r="Q6" s="102"/>
      <c r="R6" s="19"/>
      <c r="S6" s="103" t="str">
        <f>IF(OR($L6="",$L6=0),"",IF($L6&lt;Threshold,"Threshold",IF($J6&lt;(LossRate/100),"Just Right",IF($J6&gt;($X$6/100),"Too Strong","Strong"))))</f>
        <v>Strong</v>
      </c>
      <c r="T6" s="22"/>
      <c r="U6" s="23"/>
      <c r="W6" s="104" t="s">
        <v>166</v>
      </c>
      <c r="X6" s="105">
        <v>45.0</v>
      </c>
      <c r="AB6" s="39"/>
      <c r="AC6" s="39"/>
      <c r="AD6" s="39"/>
      <c r="AE6" s="39"/>
      <c r="AF6" s="90" t="s">
        <v>151</v>
      </c>
    </row>
    <row r="7" ht="18.75" customHeight="1">
      <c r="A7" s="106"/>
      <c r="B7" s="107">
        <f t="shared" si="1"/>
        <v>2</v>
      </c>
      <c r="C7" s="93"/>
      <c r="D7" s="108" t="s">
        <v>67</v>
      </c>
      <c r="E7" s="95"/>
      <c r="F7" s="109">
        <v>17.0</v>
      </c>
      <c r="G7" s="95"/>
      <c r="H7" s="110">
        <v>31.0</v>
      </c>
      <c r="I7" s="93"/>
      <c r="J7" s="111">
        <f t="shared" si="2"/>
        <v>0.3541666667</v>
      </c>
      <c r="K7" s="93"/>
      <c r="L7" s="112">
        <f t="shared" si="3"/>
        <v>48</v>
      </c>
      <c r="M7" s="82"/>
      <c r="N7" s="113">
        <v>46166.90625</v>
      </c>
      <c r="O7" s="100"/>
      <c r="P7" s="114" t="s">
        <v>157</v>
      </c>
      <c r="Q7" s="102"/>
      <c r="S7" s="103" t="str">
        <f>IF(OR($L7="",$L7=0),"",IF($L7&lt;Threshold,"Threshold",IF($J7&lt;(LossRate/100),"Just Right",IF($J7&gt;($X$6/100),"Too Strong","Strong"))))</f>
        <v>Just Right</v>
      </c>
      <c r="T7" s="22"/>
      <c r="U7" s="23"/>
      <c r="W7" s="115" t="s">
        <v>167</v>
      </c>
      <c r="X7" s="105">
        <v>36.0</v>
      </c>
      <c r="AA7" s="116"/>
      <c r="AB7" s="94"/>
      <c r="AC7" s="94"/>
      <c r="AD7" s="94"/>
      <c r="AE7" s="94"/>
      <c r="AF7" s="90" t="s">
        <v>168</v>
      </c>
    </row>
    <row r="8" ht="22.5" customHeight="1">
      <c r="A8" s="91"/>
      <c r="B8" s="92">
        <f t="shared" si="1"/>
        <v>3</v>
      </c>
      <c r="C8" s="93"/>
      <c r="D8" s="94" t="s">
        <v>1</v>
      </c>
      <c r="E8" s="95"/>
      <c r="F8" s="117">
        <v>16.0</v>
      </c>
      <c r="G8" s="95"/>
      <c r="H8" s="96">
        <v>26.0</v>
      </c>
      <c r="I8" s="93"/>
      <c r="J8" s="97">
        <f t="shared" si="2"/>
        <v>0.380952381</v>
      </c>
      <c r="K8" s="93"/>
      <c r="L8" s="98">
        <f t="shared" si="3"/>
        <v>42</v>
      </c>
      <c r="M8" s="82"/>
      <c r="N8" s="99">
        <v>46156.46319444444</v>
      </c>
      <c r="O8" s="100"/>
      <c r="P8" s="118" t="s">
        <v>158</v>
      </c>
      <c r="Q8" s="102"/>
      <c r="S8" s="103" t="str">
        <f>IF(OR($L8="",$L8=0),"",IF($L8&lt;Threshold,"Threshold",IF($J8&lt;(LossRate/100),"Just Right",IF($J8&gt;($X$6/100),"Too Strong","Strong"))))</f>
        <v>Strong</v>
      </c>
      <c r="T8" s="22"/>
      <c r="U8" s="23"/>
      <c r="W8" s="81" t="s">
        <v>169</v>
      </c>
      <c r="X8" s="105">
        <v>8.0</v>
      </c>
      <c r="Z8" s="119" t="s">
        <v>170</v>
      </c>
      <c r="AA8" s="120" t="s">
        <v>171</v>
      </c>
      <c r="AB8" s="94"/>
      <c r="AC8" s="94"/>
      <c r="AD8" s="94"/>
      <c r="AE8" s="94"/>
      <c r="AF8" s="94"/>
    </row>
    <row r="9" ht="22.5" customHeight="1">
      <c r="A9" s="106"/>
      <c r="B9" s="107">
        <f t="shared" si="1"/>
        <v>4</v>
      </c>
      <c r="C9" s="93"/>
      <c r="D9" s="121" t="s">
        <v>172</v>
      </c>
      <c r="E9" s="95"/>
      <c r="F9" s="122">
        <v>15.0</v>
      </c>
      <c r="G9" s="95"/>
      <c r="H9" s="110">
        <v>25.0</v>
      </c>
      <c r="I9" s="93"/>
      <c r="J9" s="111">
        <f t="shared" si="2"/>
        <v>0.375</v>
      </c>
      <c r="K9" s="93"/>
      <c r="L9" s="112">
        <f t="shared" si="3"/>
        <v>40</v>
      </c>
      <c r="M9" s="82"/>
      <c r="N9" s="113">
        <v>46156.56041666667</v>
      </c>
      <c r="O9" s="100"/>
      <c r="P9" s="123" t="s">
        <v>158</v>
      </c>
      <c r="Q9" s="102"/>
      <c r="S9" s="103" t="str">
        <f>IF(OR($L9="",$L9=0),"",IF($L9&lt;Threshold,"Threshold",IF($J9&lt;(LossRate/100),"Just Right",IF($J9&gt;($X$6/100),"Too Strong","Strong"))))</f>
        <v>Strong</v>
      </c>
      <c r="T9" s="22"/>
      <c r="U9" s="23"/>
      <c r="W9" s="124" t="s">
        <v>173</v>
      </c>
      <c r="X9" s="105">
        <v>1.5</v>
      </c>
      <c r="Z9" s="125" t="s">
        <v>174</v>
      </c>
      <c r="AA9" s="126">
        <f>max(History!K2:K971)+max(History!L2:L971)</f>
        <v>704</v>
      </c>
      <c r="AB9" s="94"/>
      <c r="AC9" s="94"/>
      <c r="AD9" s="94"/>
      <c r="AE9" s="94"/>
      <c r="AF9" s="94"/>
    </row>
    <row r="10" ht="22.5" customHeight="1">
      <c r="A10" s="91"/>
      <c r="B10" s="92">
        <f t="shared" si="1"/>
        <v>5</v>
      </c>
      <c r="C10" s="93"/>
      <c r="D10" s="94" t="s">
        <v>107</v>
      </c>
      <c r="E10" s="95"/>
      <c r="F10" s="96">
        <v>13.0</v>
      </c>
      <c r="G10" s="95"/>
      <c r="H10" s="96">
        <v>27.0</v>
      </c>
      <c r="I10" s="93"/>
      <c r="J10" s="97">
        <f t="shared" si="2"/>
        <v>0.325</v>
      </c>
      <c r="K10" s="93"/>
      <c r="L10" s="98">
        <f t="shared" si="3"/>
        <v>40</v>
      </c>
      <c r="M10" s="82"/>
      <c r="N10" s="99">
        <v>46118.78680555556</v>
      </c>
      <c r="O10" s="100"/>
      <c r="P10" s="118" t="s">
        <v>158</v>
      </c>
      <c r="Q10" s="102"/>
      <c r="S10" s="103" t="str">
        <f>IF(OR($L10="",$L10=0),"",IF($L10&lt;Threshold,"Threshold",IF($J10&lt;(LossRate/100),"Just Right",IF($J10&gt;($X$6/100),"Too Strong","Strong"))))</f>
        <v>Just Right</v>
      </c>
      <c r="T10" s="22"/>
      <c r="U10" s="23"/>
      <c r="Z10" s="79"/>
      <c r="AA10" s="79"/>
    </row>
    <row r="11" ht="22.5" customHeight="1">
      <c r="A11" s="106"/>
      <c r="B11" s="107">
        <f t="shared" si="1"/>
        <v>6</v>
      </c>
      <c r="C11" s="93"/>
      <c r="D11" s="121" t="s">
        <v>175</v>
      </c>
      <c r="E11" s="95"/>
      <c r="F11" s="122">
        <v>15.0</v>
      </c>
      <c r="G11" s="95"/>
      <c r="H11" s="110">
        <v>22.0</v>
      </c>
      <c r="I11" s="93"/>
      <c r="J11" s="111">
        <f>IF(L11="","",F11/L11)</f>
        <v>0.4054054054</v>
      </c>
      <c r="K11" s="93"/>
      <c r="L11" s="112">
        <f t="shared" si="3"/>
        <v>37</v>
      </c>
      <c r="M11" s="82"/>
      <c r="N11" s="113">
        <v>46156.60972222222</v>
      </c>
      <c r="O11" s="100"/>
      <c r="P11" s="123" t="s">
        <v>158</v>
      </c>
      <c r="Q11" s="102"/>
      <c r="S11" s="103" t="str">
        <f>IF(OR($L11="",$L11=0),"",IF($L11&lt;Threshold,"Threshold",IF($J11&lt;(LossRate/100),"Just Right",IF($J11&gt;($X$6/100),"Too Strong","Strong"))))</f>
        <v>Strong</v>
      </c>
      <c r="T11" s="22"/>
      <c r="U11" s="23"/>
      <c r="Z11" s="79"/>
      <c r="AA11" s="79"/>
    </row>
    <row r="12" ht="22.5" customHeight="1">
      <c r="A12" s="91"/>
      <c r="B12" s="92">
        <f t="shared" si="1"/>
        <v>7</v>
      </c>
      <c r="C12" s="93"/>
      <c r="D12" s="94" t="s">
        <v>3</v>
      </c>
      <c r="E12" s="95"/>
      <c r="F12" s="117">
        <v>13.0</v>
      </c>
      <c r="G12" s="95"/>
      <c r="H12" s="96">
        <v>22.0</v>
      </c>
      <c r="I12" s="93"/>
      <c r="J12" s="97">
        <f t="shared" ref="J12:J29" si="4">if(L12=0,"",F12/L12)</f>
        <v>0.3714285714</v>
      </c>
      <c r="K12" s="93"/>
      <c r="L12" s="98">
        <f t="shared" si="3"/>
        <v>35</v>
      </c>
      <c r="M12" s="82"/>
      <c r="N12" s="99">
        <v>46061.6375</v>
      </c>
      <c r="O12" s="100"/>
      <c r="P12" s="118" t="s">
        <v>158</v>
      </c>
      <c r="Q12" s="102"/>
      <c r="S12" s="103" t="str">
        <f>IF(OR($L12="",$L12=0),"",IF($L12&lt;Threshold,"Threshold",IF($J12&lt;(LossRate/100),"Just Right",IF($J12&gt;($X$6/100),"Too Strong","Strong"))))</f>
        <v>Strong</v>
      </c>
      <c r="T12" s="22"/>
      <c r="U12" s="23"/>
      <c r="Z12" s="79"/>
      <c r="AA12" s="79"/>
    </row>
    <row r="13" ht="22.5" customHeight="1">
      <c r="A13" s="106"/>
      <c r="B13" s="107">
        <f t="shared" si="1"/>
        <v>8</v>
      </c>
      <c r="C13" s="93"/>
      <c r="D13" s="121" t="s">
        <v>64</v>
      </c>
      <c r="E13" s="95"/>
      <c r="F13" s="122">
        <v>17.0</v>
      </c>
      <c r="G13" s="95"/>
      <c r="H13" s="110">
        <v>15.0</v>
      </c>
      <c r="I13" s="93"/>
      <c r="J13" s="111">
        <f t="shared" si="4"/>
        <v>0.53125</v>
      </c>
      <c r="K13" s="93"/>
      <c r="L13" s="112">
        <f t="shared" si="3"/>
        <v>32</v>
      </c>
      <c r="M13" s="82"/>
      <c r="N13" s="113">
        <v>46061.73055555556</v>
      </c>
      <c r="O13" s="100"/>
      <c r="P13" s="123" t="s">
        <v>158</v>
      </c>
      <c r="Q13" s="102"/>
      <c r="S13" s="103" t="str">
        <f>IF(OR($L13="",$L13=0),"",IF($L13&lt;Threshold,"Threshold",IF($J13&lt;(LossRate/100),"Just Right",IF($J13&gt;($X$6/100),"Too Strong","Strong"))))</f>
        <v>Too Strong</v>
      </c>
      <c r="T13" s="22"/>
      <c r="U13" s="23"/>
      <c r="Z13" s="79"/>
      <c r="AA13" s="79"/>
      <c r="AB13" s="79"/>
      <c r="AC13" s="79"/>
      <c r="AD13" s="79"/>
      <c r="AE13" s="79"/>
      <c r="AF13" s="79"/>
    </row>
    <row r="14" ht="22.5" customHeight="1">
      <c r="A14" s="91"/>
      <c r="B14" s="92">
        <f t="shared" si="1"/>
        <v>9</v>
      </c>
      <c r="C14" s="93"/>
      <c r="D14" s="94" t="s">
        <v>176</v>
      </c>
      <c r="E14" s="95"/>
      <c r="F14" s="117">
        <v>15.0</v>
      </c>
      <c r="G14" s="95"/>
      <c r="H14" s="127">
        <v>17.0</v>
      </c>
      <c r="I14" s="93"/>
      <c r="J14" s="97">
        <f t="shared" si="4"/>
        <v>0.46875</v>
      </c>
      <c r="K14" s="93"/>
      <c r="L14" s="98">
        <f t="shared" si="3"/>
        <v>32</v>
      </c>
      <c r="M14" s="82"/>
      <c r="N14" s="99">
        <v>46061.68194444444</v>
      </c>
      <c r="O14" s="100"/>
      <c r="P14" s="118" t="s">
        <v>158</v>
      </c>
      <c r="Q14" s="102"/>
      <c r="S14" s="103" t="str">
        <f>IF(OR($L14="",$L14=0),"",IF($L14&lt;Threshold,"Threshold",IF($J14&lt;(LossRate/100),"Just Right",IF($J14&gt;($X$6/100),"Too Strong","Strong"))))</f>
        <v>Too Strong</v>
      </c>
      <c r="T14" s="22"/>
      <c r="U14" s="23"/>
      <c r="Z14" s="79"/>
      <c r="AA14" s="79"/>
      <c r="AB14" s="94"/>
      <c r="AC14" s="94"/>
      <c r="AD14" s="94"/>
      <c r="AE14" s="94"/>
      <c r="AF14" s="94"/>
    </row>
    <row r="15" ht="22.5" customHeight="1">
      <c r="A15" s="106"/>
      <c r="B15" s="107">
        <f t="shared" si="1"/>
        <v>10</v>
      </c>
      <c r="C15" s="93"/>
      <c r="D15" s="121" t="s">
        <v>115</v>
      </c>
      <c r="E15" s="95"/>
      <c r="F15" s="110">
        <v>10.0</v>
      </c>
      <c r="G15" s="95"/>
      <c r="H15" s="110">
        <v>20.0</v>
      </c>
      <c r="I15" s="93"/>
      <c r="J15" s="111">
        <f t="shared" si="4"/>
        <v>0.3333333333</v>
      </c>
      <c r="K15" s="93"/>
      <c r="L15" s="112">
        <f t="shared" si="3"/>
        <v>30</v>
      </c>
      <c r="M15" s="82"/>
      <c r="N15" s="113">
        <v>46156.80763888889</v>
      </c>
      <c r="O15" s="100"/>
      <c r="P15" s="123" t="s">
        <v>157</v>
      </c>
      <c r="Q15" s="102"/>
      <c r="S15" s="103" t="str">
        <f>IF(OR($L15="",$L15=0),"",IF($L15&lt;Threshold,"Threshold",IF($J15&lt;(LossRate/100),"Just Right",IF($J15&gt;($X$6/100),"Too Strong","Strong"))))</f>
        <v>Just Right</v>
      </c>
      <c r="T15" s="22"/>
      <c r="U15" s="23"/>
      <c r="Z15" s="79"/>
      <c r="AA15" s="79"/>
      <c r="AB15" s="94"/>
      <c r="AC15" s="94"/>
      <c r="AD15" s="94"/>
      <c r="AE15" s="94"/>
      <c r="AF15" s="94"/>
    </row>
    <row r="16" ht="22.5" customHeight="1">
      <c r="A16" s="91"/>
      <c r="B16" s="92">
        <f t="shared" si="1"/>
        <v>11</v>
      </c>
      <c r="C16" s="93"/>
      <c r="D16" s="94" t="s">
        <v>177</v>
      </c>
      <c r="E16" s="95"/>
      <c r="F16" s="96">
        <v>7.0</v>
      </c>
      <c r="G16" s="95"/>
      <c r="H16" s="96">
        <v>20.0</v>
      </c>
      <c r="I16" s="93"/>
      <c r="J16" s="97">
        <f t="shared" si="4"/>
        <v>0.2592592593</v>
      </c>
      <c r="K16" s="93"/>
      <c r="L16" s="98">
        <f t="shared" si="3"/>
        <v>27</v>
      </c>
      <c r="M16" s="82"/>
      <c r="N16" s="99">
        <v>46033.53055555555</v>
      </c>
      <c r="O16" s="100"/>
      <c r="P16" s="101" t="s">
        <v>158</v>
      </c>
      <c r="Q16" s="102"/>
      <c r="S16" s="103" t="str">
        <f>IF(OR($L16="",$L16=0),"",IF($L16&lt;Threshold,"Threshold",IF($J16&lt;(LossRate/100),"Just Right",IF($J16&gt;($X$6/100),"Too Strong","Strong"))))</f>
        <v>Just Right</v>
      </c>
      <c r="T16" s="22"/>
      <c r="U16" s="23"/>
      <c r="Z16" s="79"/>
      <c r="AA16" s="79"/>
      <c r="AB16" s="94"/>
      <c r="AC16" s="94"/>
      <c r="AD16" s="94"/>
      <c r="AE16" s="94"/>
      <c r="AF16" s="94"/>
    </row>
    <row r="17" ht="22.5" customHeight="1">
      <c r="A17" s="106"/>
      <c r="B17" s="107">
        <f t="shared" si="1"/>
        <v>12</v>
      </c>
      <c r="C17" s="93"/>
      <c r="D17" s="121" t="s">
        <v>84</v>
      </c>
      <c r="E17" s="95"/>
      <c r="F17" s="122">
        <v>16.0</v>
      </c>
      <c r="G17" s="95"/>
      <c r="H17" s="110">
        <v>11.0</v>
      </c>
      <c r="I17" s="93"/>
      <c r="J17" s="111">
        <f t="shared" si="4"/>
        <v>0.5925925926</v>
      </c>
      <c r="K17" s="93"/>
      <c r="L17" s="112">
        <f t="shared" si="3"/>
        <v>27</v>
      </c>
      <c r="M17" s="82"/>
      <c r="N17" s="113">
        <v>46004.873611111114</v>
      </c>
      <c r="O17" s="100"/>
      <c r="P17" s="123" t="s">
        <v>157</v>
      </c>
      <c r="Q17" s="102"/>
      <c r="S17" s="103" t="str">
        <f>IF(OR($L17="",$L17=0),"",IF($L17&lt;Threshold,"Threshold",IF($J17&lt;(LossRate/100),"Just Right",IF($J17&gt;($X$6/100),"Too Strong","Strong"))))</f>
        <v>Too Strong</v>
      </c>
      <c r="T17" s="22"/>
      <c r="U17" s="23"/>
      <c r="Z17" s="79"/>
      <c r="AA17" s="79"/>
      <c r="AB17" s="94"/>
      <c r="AC17" s="94"/>
      <c r="AD17" s="94"/>
      <c r="AE17" s="94"/>
      <c r="AF17" s="94"/>
    </row>
    <row r="18" ht="22.5" customHeight="1">
      <c r="A18" s="91"/>
      <c r="B18" s="92">
        <f t="shared" si="1"/>
        <v>13</v>
      </c>
      <c r="C18" s="93"/>
      <c r="D18" s="128" t="s">
        <v>178</v>
      </c>
      <c r="E18" s="95"/>
      <c r="F18" s="117">
        <v>12.0</v>
      </c>
      <c r="G18" s="95"/>
      <c r="H18" s="96">
        <v>15.0</v>
      </c>
      <c r="I18" s="93"/>
      <c r="J18" s="97">
        <f t="shared" si="4"/>
        <v>0.4444444444</v>
      </c>
      <c r="K18" s="93"/>
      <c r="L18" s="98">
        <f t="shared" si="3"/>
        <v>27</v>
      </c>
      <c r="M18" s="82"/>
      <c r="N18" s="99">
        <v>45920.56041666667</v>
      </c>
      <c r="O18" s="100"/>
      <c r="P18" s="118" t="s">
        <v>157</v>
      </c>
      <c r="Q18" s="102"/>
      <c r="S18" s="103" t="str">
        <f>IF(OR($L18="",$L18=0),"",IF($L18&lt;Threshold,"Threshold",IF($J18&lt;(LossRate/100),"Just Right",IF($J18&gt;($X$6/100),"Too Strong","Strong"))))</f>
        <v>Strong</v>
      </c>
      <c r="T18" s="22"/>
      <c r="U18" s="23"/>
      <c r="Z18" s="79"/>
      <c r="AA18" s="79"/>
      <c r="AB18" s="94"/>
      <c r="AC18" s="94"/>
      <c r="AD18" s="94"/>
      <c r="AE18" s="94"/>
      <c r="AF18" s="94"/>
    </row>
    <row r="19" ht="22.5" customHeight="1">
      <c r="A19" s="106"/>
      <c r="B19" s="107">
        <f t="shared" si="1"/>
        <v>14</v>
      </c>
      <c r="C19" s="93"/>
      <c r="D19" s="121" t="s">
        <v>179</v>
      </c>
      <c r="E19" s="95"/>
      <c r="F19" s="122">
        <v>12.0</v>
      </c>
      <c r="G19" s="95"/>
      <c r="H19" s="110">
        <v>14.0</v>
      </c>
      <c r="I19" s="93"/>
      <c r="J19" s="111">
        <f t="shared" si="4"/>
        <v>0.4615384615</v>
      </c>
      <c r="K19" s="93"/>
      <c r="L19" s="112">
        <f t="shared" si="3"/>
        <v>26</v>
      </c>
      <c r="M19" s="82"/>
      <c r="N19" s="113">
        <v>46156.49791666667</v>
      </c>
      <c r="O19" s="100"/>
      <c r="P19" s="123" t="s">
        <v>157</v>
      </c>
      <c r="Q19" s="102"/>
      <c r="S19" s="103" t="str">
        <f>IF(OR($L19="",$L19=0),"",IF($L19&lt;Threshold,"Threshold",IF($J19&lt;(LossRate/100),"Just Right",IF($J19&gt;($X$6/100),"Too Strong","Strong"))))</f>
        <v>Too Strong</v>
      </c>
      <c r="T19" s="22"/>
      <c r="U19" s="23"/>
      <c r="Z19" s="79"/>
      <c r="AA19" s="79"/>
      <c r="AB19" s="94"/>
      <c r="AC19" s="94"/>
      <c r="AD19" s="94"/>
      <c r="AE19" s="94"/>
      <c r="AF19" s="94"/>
    </row>
    <row r="20" ht="22.5" customHeight="1">
      <c r="A20" s="91"/>
      <c r="B20" s="92">
        <f t="shared" si="1"/>
        <v>15</v>
      </c>
      <c r="C20" s="93"/>
      <c r="D20" s="94" t="s">
        <v>134</v>
      </c>
      <c r="E20" s="95"/>
      <c r="F20" s="117">
        <v>18.0</v>
      </c>
      <c r="G20" s="95"/>
      <c r="H20" s="96">
        <v>6.0</v>
      </c>
      <c r="I20" s="93"/>
      <c r="J20" s="97">
        <f t="shared" si="4"/>
        <v>0.75</v>
      </c>
      <c r="K20" s="93"/>
      <c r="L20" s="98">
        <f t="shared" si="3"/>
        <v>24</v>
      </c>
      <c r="M20" s="82"/>
      <c r="N20" s="99">
        <v>46061.6375</v>
      </c>
      <c r="O20" s="100"/>
      <c r="P20" s="118" t="s">
        <v>157</v>
      </c>
      <c r="Q20" s="102"/>
      <c r="S20" s="103" t="str">
        <f>IF(OR($L20="",$L20=0),"",IF($L20&lt;Threshold,"Threshold",IF($J20&lt;(LossRate/100),"Just Right",IF($J20&gt;($X$6/100),"Too Strong","Strong"))))</f>
        <v>Too Strong</v>
      </c>
      <c r="T20" s="22"/>
      <c r="U20" s="23"/>
      <c r="Z20" s="79"/>
      <c r="AA20" s="79"/>
      <c r="AB20" s="94"/>
      <c r="AC20" s="94"/>
      <c r="AD20" s="94"/>
      <c r="AE20" s="94"/>
      <c r="AF20" s="94"/>
    </row>
    <row r="21" ht="22.5" customHeight="1">
      <c r="A21" s="106"/>
      <c r="B21" s="107">
        <f t="shared" si="1"/>
        <v>16</v>
      </c>
      <c r="C21" s="93"/>
      <c r="D21" s="121" t="s">
        <v>113</v>
      </c>
      <c r="E21" s="95"/>
      <c r="F21" s="122">
        <v>15.0</v>
      </c>
      <c r="G21" s="95"/>
      <c r="H21" s="110">
        <v>9.0</v>
      </c>
      <c r="I21" s="93"/>
      <c r="J21" s="111">
        <f t="shared" si="4"/>
        <v>0.625</v>
      </c>
      <c r="K21" s="93"/>
      <c r="L21" s="112">
        <f t="shared" si="3"/>
        <v>24</v>
      </c>
      <c r="M21" s="82"/>
      <c r="N21" s="113">
        <v>45934.82638888889</v>
      </c>
      <c r="O21" s="100"/>
      <c r="P21" s="123" t="s">
        <v>157</v>
      </c>
      <c r="Q21" s="102"/>
      <c r="S21" s="103" t="str">
        <f>IF(OR($L21="",$L21=0),"",IF($L21&lt;Threshold,"Threshold",IF($J21&lt;(LossRate/100),"Just Right",IF($J21&gt;($X$6/100),"Too Strong","Strong"))))</f>
        <v>Too Strong</v>
      </c>
      <c r="T21" s="22"/>
      <c r="U21" s="23"/>
      <c r="Z21" s="79"/>
      <c r="AA21" s="79"/>
      <c r="AB21" s="94"/>
      <c r="AC21" s="94"/>
      <c r="AD21" s="94"/>
      <c r="AE21" s="94"/>
      <c r="AF21" s="94"/>
    </row>
    <row r="22" ht="22.5" customHeight="1">
      <c r="A22" s="91"/>
      <c r="B22" s="92">
        <f t="shared" si="1"/>
        <v>17</v>
      </c>
      <c r="C22" s="93"/>
      <c r="D22" s="94" t="s">
        <v>180</v>
      </c>
      <c r="E22" s="95"/>
      <c r="F22" s="117">
        <v>13.0</v>
      </c>
      <c r="G22" s="95"/>
      <c r="H22" s="96">
        <v>11.0</v>
      </c>
      <c r="I22" s="93"/>
      <c r="J22" s="97">
        <f t="shared" si="4"/>
        <v>0.5416666667</v>
      </c>
      <c r="K22" s="93"/>
      <c r="L22" s="98">
        <f t="shared" si="3"/>
        <v>24</v>
      </c>
      <c r="M22" s="82"/>
      <c r="N22" s="99">
        <v>46156.80763888889</v>
      </c>
      <c r="O22" s="100"/>
      <c r="P22" s="118" t="s">
        <v>157</v>
      </c>
      <c r="Q22" s="102"/>
      <c r="S22" s="103" t="str">
        <f>IF(OR($L22="",$L22=0),"",IF($L22&lt;Threshold,"Threshold",IF($J22&lt;(LossRate/100),"Just Right",IF($J22&gt;($X$6/100),"Too Strong","Strong"))))</f>
        <v>Too Strong</v>
      </c>
      <c r="T22" s="22"/>
      <c r="U22" s="23"/>
      <c r="Z22" s="79"/>
      <c r="AA22" s="79"/>
      <c r="AB22" s="94"/>
      <c r="AC22" s="94"/>
      <c r="AD22" s="94"/>
      <c r="AE22" s="94"/>
      <c r="AF22" s="94"/>
    </row>
    <row r="23" ht="22.5" customHeight="1">
      <c r="A23" s="106"/>
      <c r="B23" s="107">
        <f t="shared" si="1"/>
        <v>18</v>
      </c>
      <c r="C23" s="93"/>
      <c r="D23" s="121" t="s">
        <v>2</v>
      </c>
      <c r="E23" s="95"/>
      <c r="F23" s="110">
        <v>8.0</v>
      </c>
      <c r="G23" s="95"/>
      <c r="H23" s="110">
        <v>15.0</v>
      </c>
      <c r="I23" s="93"/>
      <c r="J23" s="111">
        <f t="shared" si="4"/>
        <v>0.347826087</v>
      </c>
      <c r="K23" s="93"/>
      <c r="L23" s="112">
        <f t="shared" si="3"/>
        <v>23</v>
      </c>
      <c r="M23" s="82"/>
      <c r="N23" s="113">
        <v>46116.77777777778</v>
      </c>
      <c r="O23" s="100"/>
      <c r="P23" s="123" t="s">
        <v>158</v>
      </c>
      <c r="Q23" s="102"/>
      <c r="S23" s="103" t="str">
        <f>IF(OR($L23="",$L23=0),"",IF($L23&lt;Threshold,"Threshold",IF($J23&lt;(LossRate/100),"Just Right",IF($J23&gt;($X$6/100),"Too Strong","Strong"))))</f>
        <v>Just Right</v>
      </c>
      <c r="T23" s="22"/>
      <c r="U23" s="23"/>
      <c r="Z23" s="79"/>
      <c r="AA23" s="79"/>
      <c r="AB23" s="94"/>
      <c r="AC23" s="94"/>
      <c r="AD23" s="94"/>
      <c r="AE23" s="94"/>
      <c r="AF23" s="94"/>
    </row>
    <row r="24" ht="22.5" customHeight="1">
      <c r="A24" s="129"/>
      <c r="B24" s="130">
        <f t="shared" si="1"/>
        <v>19</v>
      </c>
      <c r="C24" s="131"/>
      <c r="D24" s="132" t="s">
        <v>181</v>
      </c>
      <c r="E24" s="133"/>
      <c r="F24" s="134">
        <v>12.0</v>
      </c>
      <c r="G24" s="133"/>
      <c r="H24" s="135">
        <v>10.0</v>
      </c>
      <c r="I24" s="131"/>
      <c r="J24" s="136">
        <f t="shared" si="4"/>
        <v>0.5454545455</v>
      </c>
      <c r="K24" s="131"/>
      <c r="L24" s="137">
        <f t="shared" si="3"/>
        <v>22</v>
      </c>
      <c r="M24" s="82"/>
      <c r="N24" s="99">
        <v>45934.84930555556</v>
      </c>
      <c r="O24" s="100"/>
      <c r="P24" s="118" t="s">
        <v>158</v>
      </c>
      <c r="Q24" s="102"/>
      <c r="S24" s="103" t="str">
        <f>IF(OR($L24="",$L24=0),"",IF($L24&lt;Threshold,"Threshold",IF($J24&lt;(LossRate/100),"Just Right",IF($J24&gt;($X$6/100),"Too Strong","Strong"))))</f>
        <v>Too Strong</v>
      </c>
      <c r="T24" s="22"/>
      <c r="U24" s="23"/>
      <c r="Z24" s="79"/>
      <c r="AA24" s="79"/>
      <c r="AB24" s="94"/>
      <c r="AC24" s="94"/>
      <c r="AD24" s="94"/>
      <c r="AE24" s="94"/>
      <c r="AF24" s="94"/>
    </row>
    <row r="25" ht="22.5" customHeight="1">
      <c r="A25" s="138"/>
      <c r="B25" s="139">
        <f t="shared" si="1"/>
        <v>20</v>
      </c>
      <c r="C25" s="131"/>
      <c r="D25" s="140" t="s">
        <v>38</v>
      </c>
      <c r="E25" s="133"/>
      <c r="F25" s="141">
        <v>9.0</v>
      </c>
      <c r="G25" s="133"/>
      <c r="H25" s="142">
        <v>12.0</v>
      </c>
      <c r="I25" s="131"/>
      <c r="J25" s="143">
        <f t="shared" si="4"/>
        <v>0.4285714286</v>
      </c>
      <c r="K25" s="131"/>
      <c r="L25" s="144">
        <f t="shared" si="3"/>
        <v>21</v>
      </c>
      <c r="M25" s="82"/>
      <c r="N25" s="113">
        <v>46116.53680555556</v>
      </c>
      <c r="O25" s="100"/>
      <c r="P25" s="123" t="s">
        <v>157</v>
      </c>
      <c r="Q25" s="102"/>
      <c r="S25" s="103" t="str">
        <f>IF(OR($L25="",$L25=0),"",IF($L25&lt;Threshold,"Threshold",IF($J25&lt;(LossRate/100),"Just Right",IF($J25&gt;($X$6/100),"Too Strong","Strong"))))</f>
        <v>Strong</v>
      </c>
      <c r="T25" s="22"/>
      <c r="U25" s="23"/>
      <c r="Z25" s="79"/>
      <c r="AA25" s="79"/>
      <c r="AB25" s="94"/>
      <c r="AC25" s="94"/>
      <c r="AD25" s="94"/>
      <c r="AE25" s="94"/>
      <c r="AF25" s="94"/>
    </row>
    <row r="26" ht="22.5" customHeight="1">
      <c r="A26" s="129"/>
      <c r="B26" s="130">
        <f t="shared" si="1"/>
        <v>21</v>
      </c>
      <c r="C26" s="131"/>
      <c r="D26" s="132" t="s">
        <v>106</v>
      </c>
      <c r="E26" s="133"/>
      <c r="F26" s="134">
        <v>10.0</v>
      </c>
      <c r="G26" s="133"/>
      <c r="H26" s="135">
        <v>7.0</v>
      </c>
      <c r="I26" s="131"/>
      <c r="J26" s="136">
        <f t="shared" si="4"/>
        <v>0.5882352941</v>
      </c>
      <c r="K26" s="131"/>
      <c r="L26" s="137">
        <f t="shared" si="3"/>
        <v>17</v>
      </c>
      <c r="M26" s="82"/>
      <c r="N26" s="99">
        <v>46089.70486111111</v>
      </c>
      <c r="O26" s="100"/>
      <c r="P26" s="118" t="s">
        <v>157</v>
      </c>
      <c r="Q26" s="102"/>
      <c r="S26" s="103" t="str">
        <f>IF(OR($L26="",$L26=0),"",IF($L26&lt;Threshold,"Threshold",IF($J26&lt;(LossRate/100),"Just Right",IF($J26&gt;($X$6/100),"Too Strong","Strong"))))</f>
        <v>Too Strong</v>
      </c>
      <c r="T26" s="22"/>
      <c r="U26" s="23"/>
      <c r="Z26" s="79"/>
      <c r="AA26" s="79"/>
      <c r="AB26" s="94"/>
      <c r="AC26" s="94"/>
      <c r="AD26" s="94"/>
      <c r="AE26" s="94"/>
      <c r="AF26" s="94"/>
    </row>
    <row r="27" ht="22.5" customHeight="1">
      <c r="A27" s="138"/>
      <c r="B27" s="139">
        <f t="shared" si="1"/>
        <v>22</v>
      </c>
      <c r="C27" s="131"/>
      <c r="D27" s="140" t="s">
        <v>85</v>
      </c>
      <c r="E27" s="133"/>
      <c r="F27" s="141">
        <v>6.0</v>
      </c>
      <c r="G27" s="133"/>
      <c r="H27" s="142">
        <v>11.0</v>
      </c>
      <c r="I27" s="131"/>
      <c r="J27" s="143">
        <f t="shared" si="4"/>
        <v>0.3529411765</v>
      </c>
      <c r="K27" s="131"/>
      <c r="L27" s="144">
        <f t="shared" si="3"/>
        <v>17</v>
      </c>
      <c r="M27" s="82"/>
      <c r="N27" s="113">
        <v>46004.62222222222</v>
      </c>
      <c r="O27" s="100"/>
      <c r="P27" s="123" t="s">
        <v>158</v>
      </c>
      <c r="Q27" s="102"/>
      <c r="S27" s="103" t="str">
        <f>IF(OR($L27="",$L27=0),"",IF($L27&lt;Threshold,"Threshold",IF($J27&lt;(LossRate/100),"Just Right",IF($J27&gt;($X$6/100),"Too Strong","Strong"))))</f>
        <v>Just Right</v>
      </c>
      <c r="T27" s="22"/>
      <c r="U27" s="23"/>
      <c r="Z27" s="79"/>
      <c r="AA27" s="79"/>
      <c r="AB27" s="94"/>
      <c r="AC27" s="94"/>
      <c r="AD27" s="94"/>
      <c r="AE27" s="94"/>
      <c r="AF27" s="94"/>
    </row>
    <row r="28" ht="22.5" customHeight="1">
      <c r="A28" s="129"/>
      <c r="B28" s="130">
        <f t="shared" si="1"/>
        <v>23</v>
      </c>
      <c r="C28" s="131"/>
      <c r="D28" s="132" t="s">
        <v>39</v>
      </c>
      <c r="E28" s="133"/>
      <c r="F28" s="134">
        <v>9.0</v>
      </c>
      <c r="G28" s="133"/>
      <c r="H28" s="135">
        <v>7.0</v>
      </c>
      <c r="I28" s="131"/>
      <c r="J28" s="136">
        <f t="shared" si="4"/>
        <v>0.5625</v>
      </c>
      <c r="K28" s="131"/>
      <c r="L28" s="137">
        <f t="shared" si="3"/>
        <v>16</v>
      </c>
      <c r="M28" s="82"/>
      <c r="N28" s="99">
        <v>45934.55486111111</v>
      </c>
      <c r="O28" s="100"/>
      <c r="P28" s="118" t="s">
        <v>157</v>
      </c>
      <c r="Q28" s="102"/>
      <c r="S28" s="103" t="str">
        <f>IF(OR($L28="",$L28=0),"",IF($L28&lt;Threshold,"Threshold",IF($J28&lt;(LossRate/100),"Just Right",IF($J28&gt;($X$6/100),"Too Strong","Strong"))))</f>
        <v>Too Strong</v>
      </c>
      <c r="T28" s="22"/>
      <c r="U28" s="23"/>
      <c r="Z28" s="79"/>
      <c r="AA28" s="79"/>
      <c r="AB28" s="94"/>
      <c r="AC28" s="94"/>
      <c r="AD28" s="94"/>
      <c r="AE28" s="94"/>
      <c r="AF28" s="94"/>
    </row>
    <row r="29" ht="22.5" customHeight="1">
      <c r="A29" s="138"/>
      <c r="B29" s="139">
        <f t="shared" si="1"/>
        <v>24</v>
      </c>
      <c r="C29" s="131"/>
      <c r="D29" s="140" t="s">
        <v>114</v>
      </c>
      <c r="E29" s="133"/>
      <c r="F29" s="145">
        <v>1.0</v>
      </c>
      <c r="G29" s="133">
        <v>0.0</v>
      </c>
      <c r="H29" s="142">
        <v>0.0</v>
      </c>
      <c r="I29" s="131"/>
      <c r="J29" s="143">
        <f t="shared" si="4"/>
        <v>1</v>
      </c>
      <c r="K29" s="131"/>
      <c r="L29" s="144">
        <f t="shared" si="3"/>
        <v>1</v>
      </c>
      <c r="M29" s="82"/>
      <c r="N29" s="113">
        <v>46166.7875</v>
      </c>
      <c r="O29" s="100"/>
      <c r="P29" s="114" t="s">
        <v>157</v>
      </c>
      <c r="Q29" s="102"/>
      <c r="S29" s="103" t="str">
        <f>IF(OR($L29="",$L29=0),"",IF($L29&lt;Threshold,"Threshold",IF($J29&lt;(LossRate/100),"Just Right",IF($J29&gt;($X$6/100),"Too Strong","Strong"))))</f>
        <v>Threshold</v>
      </c>
      <c r="T29" s="22"/>
      <c r="U29" s="23"/>
      <c r="Z29" s="79"/>
      <c r="AA29" s="79"/>
      <c r="AB29" s="94"/>
      <c r="AC29" s="94"/>
      <c r="AD29" s="94"/>
      <c r="AE29" s="94"/>
      <c r="AF29" s="94"/>
    </row>
    <row r="30" ht="22.5" customHeight="1">
      <c r="A30" s="129"/>
      <c r="B30" s="130">
        <f t="shared" si="1"/>
        <v>25</v>
      </c>
      <c r="C30" s="131"/>
      <c r="D30" s="132"/>
      <c r="E30" s="133"/>
      <c r="F30" s="134"/>
      <c r="G30" s="133"/>
      <c r="H30" s="135"/>
      <c r="I30" s="131"/>
      <c r="J30" s="136"/>
      <c r="K30" s="131"/>
      <c r="L30" s="137"/>
      <c r="M30" s="82"/>
      <c r="N30" s="99"/>
      <c r="O30" s="100"/>
      <c r="P30" s="118"/>
      <c r="Q30" s="102"/>
      <c r="S30" s="103" t="str">
        <f>IF(OR($L30="",$L30=0),"",IF($L30&lt;Threshold,"Threshold",IF($J30&lt;(LossRate/100),"Just Right",IF($J30&gt;($X$6/100),"Too Strong","Strong"))))</f>
        <v/>
      </c>
      <c r="T30" s="22"/>
      <c r="U30" s="23"/>
      <c r="Z30" s="79"/>
      <c r="AA30" s="79"/>
      <c r="AB30" s="94"/>
      <c r="AC30" s="94"/>
      <c r="AD30" s="94"/>
      <c r="AE30" s="94"/>
      <c r="AF30" s="94"/>
    </row>
    <row r="31" ht="22.5" customHeight="1">
      <c r="A31" s="138"/>
      <c r="B31" s="139">
        <f t="shared" si="1"/>
        <v>26</v>
      </c>
      <c r="C31" s="131"/>
      <c r="D31" s="146"/>
      <c r="E31" s="131"/>
      <c r="F31" s="147"/>
      <c r="G31" s="148"/>
      <c r="H31" s="147"/>
      <c r="I31" s="131"/>
      <c r="J31" s="143"/>
      <c r="K31" s="131"/>
      <c r="L31" s="144"/>
      <c r="M31" s="82"/>
      <c r="N31" s="149"/>
      <c r="O31" s="100"/>
      <c r="P31" s="123"/>
      <c r="Q31" s="102"/>
      <c r="S31" s="103" t="str">
        <f>IF(OR($L31="",$L31=0),"",IF($L31&lt;Threshold,"Threshold",IF($J31&lt;(LossRate/100),"Just Right",IF($J31&gt;($X$6/100),"Too Strong","Strong"))))</f>
        <v/>
      </c>
      <c r="T31" s="22"/>
      <c r="U31" s="23"/>
      <c r="Z31" s="79"/>
      <c r="AA31" s="79"/>
      <c r="AB31" s="94"/>
      <c r="AC31" s="94"/>
      <c r="AD31" s="94"/>
      <c r="AE31" s="94"/>
      <c r="AF31" s="94"/>
    </row>
    <row r="32" ht="22.5" customHeight="1">
      <c r="A32" s="129"/>
      <c r="B32" s="130">
        <f t="shared" si="1"/>
        <v>27</v>
      </c>
      <c r="C32" s="131"/>
      <c r="D32" s="150"/>
      <c r="E32" s="131"/>
      <c r="F32" s="151"/>
      <c r="G32" s="152"/>
      <c r="H32" s="151"/>
      <c r="I32" s="131"/>
      <c r="J32" s="136"/>
      <c r="K32" s="131"/>
      <c r="L32" s="137"/>
      <c r="M32" s="82"/>
      <c r="N32" s="99"/>
      <c r="O32" s="100"/>
      <c r="P32" s="101"/>
      <c r="Q32" s="102"/>
      <c r="S32" s="103" t="str">
        <f>IF(OR($L32="",$L32=0),"",IF($L32&lt;Threshold,"Threshold",IF($J32&lt;(LossRate/100),"Just Right",IF($J32&gt;($X$6/100),"Too Strong","Strong"))))</f>
        <v/>
      </c>
      <c r="T32" s="22"/>
      <c r="U32" s="23"/>
      <c r="Z32" s="79"/>
      <c r="AA32" s="79"/>
      <c r="AB32" s="94"/>
      <c r="AC32" s="94"/>
      <c r="AD32" s="94"/>
      <c r="AE32" s="94"/>
      <c r="AF32" s="94"/>
    </row>
    <row r="33" ht="22.5" customHeight="1">
      <c r="A33" s="138"/>
      <c r="B33" s="139">
        <f t="shared" si="1"/>
        <v>28</v>
      </c>
      <c r="C33" s="131"/>
      <c r="D33" s="153"/>
      <c r="E33" s="131"/>
      <c r="F33" s="154"/>
      <c r="G33" s="148"/>
      <c r="H33" s="154"/>
      <c r="I33" s="131"/>
      <c r="J33" s="143"/>
      <c r="K33" s="131"/>
      <c r="L33" s="144"/>
      <c r="M33" s="82"/>
      <c r="N33" s="113"/>
      <c r="O33" s="100"/>
      <c r="P33" s="114"/>
      <c r="Q33" s="102"/>
      <c r="S33" s="103" t="str">
        <f>IF(OR($L33="",$L33=0),"",IF($L33&lt;Threshold,"Threshold",IF($J33&lt;(LossRate/100),"Just Right",IF($J33&gt;($X$6/100),"Too Strong","Strong"))))</f>
        <v/>
      </c>
      <c r="T33" s="22"/>
      <c r="U33" s="23"/>
      <c r="Z33" s="79"/>
      <c r="AA33" s="79"/>
      <c r="AB33" s="94" t="str">
        <f>Score!D33</f>
        <v/>
      </c>
      <c r="AC33" s="94"/>
      <c r="AD33" s="94"/>
      <c r="AE33" s="94"/>
      <c r="AF33" s="94"/>
    </row>
    <row r="34" ht="22.5" customHeight="1">
      <c r="A34" s="129"/>
      <c r="B34" s="130">
        <f t="shared" si="1"/>
        <v>29</v>
      </c>
      <c r="C34" s="131"/>
      <c r="D34" s="129"/>
      <c r="E34" s="131"/>
      <c r="F34" s="155"/>
      <c r="G34" s="148"/>
      <c r="H34" s="155"/>
      <c r="I34" s="131"/>
      <c r="J34" s="136"/>
      <c r="K34" s="131"/>
      <c r="L34" s="137"/>
      <c r="M34" s="82"/>
      <c r="N34" s="99"/>
      <c r="O34" s="100"/>
      <c r="P34" s="118"/>
      <c r="Q34" s="102"/>
      <c r="S34" s="103" t="str">
        <f>IF(OR($L34="",$L34=0),"",IF($L34&lt;Threshold,"Threshold",IF($J34&lt;(LossRate/100),"Just Right",IF($J34&gt;($X$6/100),"Too Strong","Strong"))))</f>
        <v/>
      </c>
      <c r="T34" s="22"/>
      <c r="U34" s="23"/>
      <c r="Z34" s="79"/>
      <c r="AA34" s="79"/>
      <c r="AB34" s="94" t="str">
        <f>Score!D34</f>
        <v/>
      </c>
      <c r="AC34" s="94"/>
      <c r="AD34" s="94"/>
      <c r="AE34" s="94"/>
      <c r="AF34" s="94"/>
    </row>
    <row r="35" ht="22.5" customHeight="1">
      <c r="A35" s="138"/>
      <c r="B35" s="139">
        <f t="shared" si="1"/>
        <v>30</v>
      </c>
      <c r="C35" s="131"/>
      <c r="D35" s="146"/>
      <c r="E35" s="131"/>
      <c r="F35" s="147"/>
      <c r="G35" s="148"/>
      <c r="H35" s="147"/>
      <c r="I35" s="131"/>
      <c r="J35" s="143"/>
      <c r="K35" s="131"/>
      <c r="L35" s="144"/>
      <c r="M35" s="82"/>
      <c r="N35" s="149"/>
      <c r="O35" s="100"/>
      <c r="P35" s="123"/>
      <c r="Q35" s="102"/>
      <c r="S35" s="103" t="str">
        <f>IF(OR($L35="",$L35=0),"",IF($L35&lt;Threshold,"Threshold",IF($J35&lt;(LossRate/100),"Just Right",IF($J35&gt;($X$6/100),"Too Strong","Strong"))))</f>
        <v/>
      </c>
      <c r="T35" s="22"/>
      <c r="U35" s="23"/>
      <c r="Z35" s="79"/>
      <c r="AA35" s="79"/>
      <c r="AB35" s="94" t="str">
        <f>Score!D35</f>
        <v/>
      </c>
      <c r="AC35" s="94"/>
      <c r="AD35" s="94"/>
      <c r="AE35" s="94"/>
      <c r="AF35" s="94"/>
    </row>
    <row r="36" ht="22.5" customHeight="1">
      <c r="A36" s="129"/>
      <c r="B36" s="130">
        <f t="shared" si="1"/>
        <v>31</v>
      </c>
      <c r="C36" s="131"/>
      <c r="D36" s="129"/>
      <c r="E36" s="131"/>
      <c r="F36" s="155"/>
      <c r="G36" s="148"/>
      <c r="H36" s="155"/>
      <c r="I36" s="131"/>
      <c r="J36" s="136"/>
      <c r="K36" s="131"/>
      <c r="L36" s="137"/>
      <c r="M36" s="82"/>
      <c r="N36" s="99"/>
      <c r="O36" s="100"/>
      <c r="P36" s="118"/>
      <c r="Q36" s="102"/>
      <c r="S36" s="103" t="str">
        <f>IF(OR($L36="",$L36=0),"",IF($L36&lt;Threshold,"Threshold",IF($J36&lt;(LossRate/100),"Just Right",IF($J36&gt;($X$6/100),"Too Strong","Strong"))))</f>
        <v/>
      </c>
      <c r="T36" s="22"/>
      <c r="U36" s="23"/>
      <c r="Z36" s="79"/>
      <c r="AA36" s="79"/>
      <c r="AB36" s="94" t="str">
        <f>Score!D36</f>
        <v/>
      </c>
      <c r="AC36" s="94"/>
      <c r="AD36" s="94"/>
      <c r="AE36" s="94"/>
      <c r="AF36" s="94"/>
    </row>
    <row r="37" ht="22.5" customHeight="1">
      <c r="A37" s="156"/>
      <c r="B37" s="157">
        <f t="shared" si="1"/>
        <v>32</v>
      </c>
      <c r="C37" s="158"/>
      <c r="D37" s="159"/>
      <c r="E37" s="158"/>
      <c r="F37" s="160"/>
      <c r="G37" s="148"/>
      <c r="H37" s="160"/>
      <c r="I37" s="158"/>
      <c r="J37" s="161"/>
      <c r="K37" s="158"/>
      <c r="L37" s="162"/>
      <c r="M37" s="163"/>
      <c r="N37" s="164"/>
      <c r="O37" s="165"/>
      <c r="P37" s="166"/>
      <c r="Q37" s="167"/>
      <c r="S37" s="103" t="str">
        <f>IF(OR($L37="",$L37=0),"",IF($L37&lt;Threshold,"Threshold",IF($J37&lt;(LossRate/100),"Just Right",IF($J37&gt;($X$6/100),"Too Strong","Strong"))))</f>
        <v/>
      </c>
      <c r="T37" s="22"/>
      <c r="U37" s="23"/>
      <c r="Z37" s="79"/>
      <c r="AA37" s="79"/>
      <c r="AB37" s="94" t="str">
        <f>Score!D37</f>
        <v/>
      </c>
      <c r="AC37" s="94"/>
      <c r="AD37" s="94"/>
      <c r="AE37" s="94"/>
      <c r="AF37" s="94"/>
    </row>
    <row r="38" ht="6.75" customHeight="1">
      <c r="A38" s="168"/>
      <c r="B38" s="168">
        <v>33.0</v>
      </c>
      <c r="D38" s="169" t="s">
        <v>174</v>
      </c>
      <c r="N38" s="54"/>
      <c r="AB38" s="169" t="s">
        <v>174</v>
      </c>
      <c r="AC38" s="169"/>
      <c r="AD38" s="169"/>
      <c r="AE38" s="169"/>
      <c r="AF38" s="169"/>
    </row>
    <row r="39" ht="15.75" customHeight="1">
      <c r="N39" s="54"/>
      <c r="AB39" s="79"/>
      <c r="AC39" s="79"/>
      <c r="AD39" s="79"/>
      <c r="AE39" s="79"/>
      <c r="AF39" s="79"/>
    </row>
    <row r="40" ht="15.75" customHeight="1">
      <c r="N40" s="54"/>
    </row>
    <row r="41" ht="15.75" customHeight="1">
      <c r="D41" s="104" t="s">
        <v>182</v>
      </c>
      <c r="N41" s="54"/>
    </row>
    <row r="42" ht="15.75" customHeight="1">
      <c r="D42" s="146" t="s">
        <v>183</v>
      </c>
      <c r="E42" s="131"/>
      <c r="F42" s="147">
        <v>7.0</v>
      </c>
      <c r="G42" s="148"/>
      <c r="H42" s="147">
        <v>11.0</v>
      </c>
      <c r="I42" s="131"/>
      <c r="J42" s="143">
        <f>IF(($F42+$H42)=0,"",($F42/($F42+$H42)))</f>
        <v>0.3888888889</v>
      </c>
      <c r="K42" s="131"/>
      <c r="L42" s="144">
        <f>IF($F42+$H42&gt;0,$F42+$H42,"")</f>
        <v>18</v>
      </c>
      <c r="M42" s="170"/>
      <c r="N42" s="54"/>
      <c r="S42" s="103" t="str">
        <f>IF(OR($L42="",$L42=0),"",IF($L42&lt;Threshold,"Threshold",IF($J42&lt;(LossRate/100),"Just Right",IF($J42&gt;($X$6/100),"Too Strong","Strong"))))</f>
        <v>Strong</v>
      </c>
      <c r="T42" s="22"/>
      <c r="U42" s="23"/>
    </row>
    <row r="43" ht="15.75" customHeight="1">
      <c r="D43" s="146" t="s">
        <v>184</v>
      </c>
      <c r="E43" s="131"/>
      <c r="F43" s="154" t="s">
        <v>185</v>
      </c>
      <c r="G43" s="148"/>
      <c r="H43" s="154" t="s">
        <v>185</v>
      </c>
      <c r="I43" s="131"/>
      <c r="J43" s="171" t="s">
        <v>185</v>
      </c>
      <c r="K43" s="131"/>
      <c r="L43" s="171" t="s">
        <v>185</v>
      </c>
      <c r="M43" s="170"/>
      <c r="N43" s="54"/>
      <c r="S43" s="172" t="s">
        <v>185</v>
      </c>
      <c r="T43" s="22"/>
      <c r="U43" s="23"/>
    </row>
    <row r="44" ht="15.75" customHeight="1">
      <c r="D44" s="94" t="s">
        <v>186</v>
      </c>
      <c r="E44" s="95"/>
      <c r="F44" s="117">
        <v>15.0</v>
      </c>
      <c r="G44" s="95"/>
      <c r="H44" s="96">
        <v>7.0</v>
      </c>
      <c r="I44" s="93"/>
      <c r="J44" s="97">
        <f>if(L44=0,"",F44/L44)</f>
        <v>0.6818181818</v>
      </c>
      <c r="K44" s="93"/>
      <c r="L44" s="98">
        <f>IF(F44="","",(F44+H44))</f>
        <v>22</v>
      </c>
      <c r="M44" s="82"/>
      <c r="N44" s="99">
        <v>46116.53680555556</v>
      </c>
      <c r="O44" s="100"/>
      <c r="P44" s="118" t="s">
        <v>158</v>
      </c>
      <c r="Q44" s="102"/>
      <c r="S44" s="103" t="str">
        <f>IF(OR($L44="",$L44=0),"",IF($L44&lt;Threshold,"Threshold",IF($J44&lt;(LossRate/100),"Just Right",IF($J44&gt;($X$6/100),"Too Strong","Strong"))))</f>
        <v>Too Strong</v>
      </c>
      <c r="T44" s="22"/>
      <c r="U44" s="23"/>
    </row>
    <row r="45" ht="15.75" customHeight="1">
      <c r="N45" s="54"/>
    </row>
    <row r="46" ht="15.75" customHeight="1">
      <c r="N46" s="54"/>
    </row>
    <row r="47" ht="15.75" customHeight="1">
      <c r="N47" s="54"/>
    </row>
    <row r="48" ht="15.75" customHeight="1">
      <c r="A48" s="91"/>
      <c r="B48" s="91"/>
      <c r="C48" s="93"/>
      <c r="D48" s="94"/>
      <c r="E48" s="95"/>
      <c r="F48" s="96"/>
      <c r="G48" s="95"/>
      <c r="H48" s="96"/>
      <c r="I48" s="93"/>
      <c r="J48" s="97"/>
      <c r="K48" s="93"/>
      <c r="L48" s="98"/>
      <c r="M48" s="82"/>
      <c r="N48" s="99"/>
      <c r="O48" s="100"/>
      <c r="P48" s="101"/>
      <c r="Q48" s="102"/>
    </row>
    <row r="49" ht="15.75" customHeight="1">
      <c r="A49" s="106"/>
      <c r="B49" s="173"/>
      <c r="C49" s="93"/>
      <c r="D49" s="108"/>
      <c r="E49" s="95"/>
      <c r="F49" s="110"/>
      <c r="G49" s="95"/>
      <c r="H49" s="110"/>
      <c r="I49" s="93"/>
      <c r="J49" s="111"/>
      <c r="K49" s="93"/>
      <c r="L49" s="112"/>
      <c r="M49" s="82"/>
      <c r="N49" s="113"/>
      <c r="O49" s="100"/>
      <c r="P49" s="123"/>
      <c r="Q49" s="102"/>
    </row>
    <row r="50" ht="15.75" customHeight="1">
      <c r="A50" s="91"/>
      <c r="B50" s="91"/>
      <c r="C50" s="93"/>
      <c r="D50" s="94"/>
      <c r="E50" s="95"/>
      <c r="F50" s="117"/>
      <c r="G50" s="95"/>
      <c r="H50" s="96"/>
      <c r="I50" s="93"/>
      <c r="J50" s="97"/>
      <c r="K50" s="93"/>
      <c r="L50" s="98"/>
      <c r="M50" s="82"/>
      <c r="N50" s="99"/>
      <c r="O50" s="100"/>
      <c r="P50" s="118"/>
      <c r="Q50" s="102"/>
    </row>
    <row r="51" ht="15.75" customHeight="1">
      <c r="A51" s="106"/>
      <c r="B51" s="173"/>
      <c r="C51" s="93"/>
      <c r="D51" s="121"/>
      <c r="E51" s="95"/>
      <c r="F51" s="122"/>
      <c r="G51" s="95"/>
      <c r="H51" s="110"/>
      <c r="I51" s="93"/>
      <c r="J51" s="111"/>
      <c r="K51" s="93"/>
      <c r="L51" s="112"/>
      <c r="M51" s="82"/>
      <c r="N51" s="113"/>
      <c r="O51" s="100"/>
      <c r="P51" s="123"/>
      <c r="Q51" s="102"/>
    </row>
    <row r="52" ht="15.75" customHeight="1">
      <c r="A52" s="91"/>
      <c r="B52" s="91"/>
      <c r="C52" s="93"/>
      <c r="D52" s="94"/>
      <c r="E52" s="95"/>
      <c r="F52" s="96"/>
      <c r="G52" s="95"/>
      <c r="H52" s="96"/>
      <c r="I52" s="93"/>
      <c r="J52" s="97"/>
      <c r="K52" s="93"/>
      <c r="L52" s="98"/>
      <c r="M52" s="82"/>
      <c r="N52" s="99"/>
      <c r="O52" s="100"/>
      <c r="P52" s="118"/>
      <c r="Q52" s="102"/>
    </row>
    <row r="53" ht="15.75" customHeight="1">
      <c r="A53" s="106"/>
      <c r="B53" s="173"/>
      <c r="C53" s="93"/>
      <c r="D53" s="121"/>
      <c r="E53" s="95"/>
      <c r="F53" s="122"/>
      <c r="G53" s="95"/>
      <c r="H53" s="110"/>
      <c r="I53" s="93"/>
      <c r="J53" s="111"/>
      <c r="K53" s="93"/>
      <c r="L53" s="112"/>
      <c r="M53" s="82"/>
      <c r="N53" s="113"/>
      <c r="O53" s="100"/>
      <c r="P53" s="123"/>
      <c r="Q53" s="102"/>
    </row>
    <row r="54" ht="15.75" customHeight="1">
      <c r="A54" s="91"/>
      <c r="B54" s="91"/>
      <c r="C54" s="93"/>
      <c r="D54" s="94"/>
      <c r="E54" s="95"/>
      <c r="F54" s="117"/>
      <c r="G54" s="95"/>
      <c r="H54" s="96"/>
      <c r="I54" s="93"/>
      <c r="J54" s="97"/>
      <c r="K54" s="93"/>
      <c r="L54" s="98"/>
      <c r="M54" s="82"/>
      <c r="N54" s="99"/>
      <c r="O54" s="100"/>
      <c r="P54" s="118"/>
      <c r="Q54" s="102"/>
    </row>
    <row r="55" ht="15.75" customHeight="1">
      <c r="A55" s="106"/>
      <c r="B55" s="173"/>
      <c r="C55" s="93"/>
      <c r="D55" s="121"/>
      <c r="E55" s="95"/>
      <c r="F55" s="122"/>
      <c r="G55" s="95"/>
      <c r="H55" s="110"/>
      <c r="I55" s="93"/>
      <c r="J55" s="111"/>
      <c r="K55" s="93"/>
      <c r="L55" s="112"/>
      <c r="M55" s="82"/>
      <c r="N55" s="113"/>
      <c r="O55" s="100"/>
      <c r="P55" s="123"/>
      <c r="Q55" s="102"/>
    </row>
    <row r="56" ht="15.75" customHeight="1">
      <c r="A56" s="91"/>
      <c r="B56" s="91"/>
      <c r="C56" s="93"/>
      <c r="D56" s="94"/>
      <c r="E56" s="95"/>
      <c r="F56" s="117"/>
      <c r="G56" s="95"/>
      <c r="H56" s="96"/>
      <c r="I56" s="93"/>
      <c r="J56" s="97"/>
      <c r="K56" s="93"/>
      <c r="L56" s="98"/>
      <c r="M56" s="82"/>
      <c r="N56" s="99"/>
      <c r="O56" s="100"/>
      <c r="P56" s="118"/>
      <c r="Q56" s="102"/>
    </row>
    <row r="57" ht="15.75" customHeight="1">
      <c r="A57" s="106"/>
      <c r="B57" s="173"/>
      <c r="C57" s="93"/>
      <c r="D57" s="121"/>
      <c r="E57" s="95"/>
      <c r="F57" s="110"/>
      <c r="G57" s="95"/>
      <c r="H57" s="110"/>
      <c r="I57" s="93"/>
      <c r="J57" s="111"/>
      <c r="K57" s="93"/>
      <c r="L57" s="112"/>
      <c r="M57" s="82"/>
      <c r="N57" s="113"/>
      <c r="O57" s="100"/>
      <c r="P57" s="123"/>
      <c r="Q57" s="102"/>
    </row>
    <row r="58" ht="15.75" customHeight="1">
      <c r="A58" s="91"/>
      <c r="B58" s="91"/>
      <c r="C58" s="93"/>
      <c r="D58" s="94"/>
      <c r="E58" s="95"/>
      <c r="F58" s="96"/>
      <c r="G58" s="95"/>
      <c r="H58" s="96"/>
      <c r="I58" s="93"/>
      <c r="J58" s="97"/>
      <c r="K58" s="93"/>
      <c r="L58" s="98"/>
      <c r="M58" s="82"/>
      <c r="N58" s="99"/>
      <c r="O58" s="100"/>
      <c r="P58" s="101"/>
      <c r="Q58" s="102"/>
    </row>
    <row r="59" ht="15.75" customHeight="1">
      <c r="A59" s="106"/>
      <c r="B59" s="173"/>
      <c r="C59" s="93"/>
      <c r="D59" s="121"/>
      <c r="E59" s="95"/>
      <c r="F59" s="122"/>
      <c r="G59" s="95"/>
      <c r="H59" s="110"/>
      <c r="I59" s="93"/>
      <c r="J59" s="111"/>
      <c r="K59" s="93"/>
      <c r="L59" s="112"/>
      <c r="M59" s="82"/>
      <c r="N59" s="113"/>
      <c r="O59" s="100"/>
      <c r="P59" s="123"/>
      <c r="Q59" s="102"/>
    </row>
    <row r="60" ht="15.75" customHeight="1">
      <c r="A60" s="91"/>
      <c r="B60" s="91"/>
      <c r="C60" s="93"/>
      <c r="D60" s="128"/>
      <c r="E60" s="95"/>
      <c r="F60" s="117"/>
      <c r="G60" s="95"/>
      <c r="H60" s="96"/>
      <c r="I60" s="93"/>
      <c r="J60" s="97"/>
      <c r="K60" s="93"/>
      <c r="L60" s="98"/>
      <c r="M60" s="82"/>
      <c r="N60" s="99"/>
      <c r="O60" s="100"/>
      <c r="P60" s="118"/>
      <c r="Q60" s="102"/>
    </row>
    <row r="61" ht="15.75" customHeight="1">
      <c r="A61" s="106"/>
      <c r="B61" s="173"/>
      <c r="C61" s="93"/>
      <c r="D61" s="121"/>
      <c r="E61" s="95"/>
      <c r="F61" s="122"/>
      <c r="G61" s="95"/>
      <c r="H61" s="110"/>
      <c r="I61" s="93"/>
      <c r="J61" s="111"/>
      <c r="K61" s="93"/>
      <c r="L61" s="112"/>
      <c r="M61" s="82"/>
      <c r="N61" s="113"/>
      <c r="O61" s="100"/>
      <c r="P61" s="123"/>
      <c r="Q61" s="102"/>
    </row>
    <row r="62" ht="15.75" customHeight="1">
      <c r="A62" s="91"/>
      <c r="B62" s="91"/>
      <c r="C62" s="93"/>
      <c r="D62" s="94"/>
      <c r="E62" s="95"/>
      <c r="F62" s="117"/>
      <c r="G62" s="95"/>
      <c r="H62" s="96"/>
      <c r="I62" s="93"/>
      <c r="J62" s="97"/>
      <c r="K62" s="93"/>
      <c r="L62" s="98"/>
      <c r="M62" s="82"/>
      <c r="N62" s="99"/>
      <c r="O62" s="100"/>
      <c r="P62" s="118"/>
      <c r="Q62" s="102"/>
    </row>
    <row r="63" ht="15.75" customHeight="1">
      <c r="A63" s="106"/>
      <c r="B63" s="173"/>
      <c r="C63" s="93"/>
      <c r="D63" s="121"/>
      <c r="E63" s="95"/>
      <c r="F63" s="122"/>
      <c r="G63" s="95"/>
      <c r="H63" s="110"/>
      <c r="I63" s="93"/>
      <c r="J63" s="111"/>
      <c r="K63" s="93"/>
      <c r="L63" s="112"/>
      <c r="M63" s="82"/>
      <c r="N63" s="113"/>
      <c r="O63" s="100"/>
      <c r="P63" s="123"/>
      <c r="Q63" s="102"/>
    </row>
    <row r="64" ht="15.75" customHeight="1">
      <c r="A64" s="91"/>
      <c r="B64" s="91"/>
      <c r="C64" s="93"/>
      <c r="D64" s="94"/>
      <c r="E64" s="95"/>
      <c r="F64" s="117"/>
      <c r="G64" s="95"/>
      <c r="H64" s="96"/>
      <c r="I64" s="93"/>
      <c r="J64" s="97"/>
      <c r="K64" s="93"/>
      <c r="L64" s="98"/>
      <c r="M64" s="82"/>
      <c r="N64" s="99"/>
      <c r="O64" s="100"/>
      <c r="P64" s="118"/>
      <c r="Q64" s="102"/>
    </row>
    <row r="65" ht="15.75" customHeight="1">
      <c r="A65" s="106"/>
      <c r="B65" s="173"/>
      <c r="C65" s="93"/>
      <c r="D65" s="121"/>
      <c r="E65" s="95"/>
      <c r="F65" s="110"/>
      <c r="G65" s="95"/>
      <c r="H65" s="110"/>
      <c r="I65" s="93"/>
      <c r="J65" s="111"/>
      <c r="K65" s="93"/>
      <c r="L65" s="112"/>
      <c r="M65" s="82"/>
      <c r="N65" s="113"/>
      <c r="O65" s="100"/>
      <c r="P65" s="123"/>
      <c r="Q65" s="102"/>
    </row>
    <row r="66" ht="15.75" customHeight="1">
      <c r="A66" s="129"/>
      <c r="B66" s="129"/>
      <c r="C66" s="131"/>
      <c r="D66" s="132"/>
      <c r="E66" s="133"/>
      <c r="F66" s="134"/>
      <c r="G66" s="133"/>
      <c r="H66" s="135"/>
      <c r="I66" s="131"/>
      <c r="J66" s="136"/>
      <c r="K66" s="131"/>
      <c r="L66" s="137"/>
      <c r="M66" s="82"/>
      <c r="N66" s="99"/>
      <c r="O66" s="100"/>
      <c r="P66" s="118"/>
      <c r="Q66" s="102"/>
    </row>
    <row r="67" ht="15.75" customHeight="1">
      <c r="A67" s="138"/>
      <c r="B67" s="146"/>
      <c r="C67" s="131"/>
      <c r="D67" s="140"/>
      <c r="E67" s="133"/>
      <c r="F67" s="141"/>
      <c r="G67" s="133"/>
      <c r="H67" s="142"/>
      <c r="I67" s="131"/>
      <c r="J67" s="143"/>
      <c r="K67" s="131"/>
      <c r="L67" s="144"/>
      <c r="M67" s="82"/>
      <c r="N67" s="113"/>
      <c r="O67" s="100"/>
      <c r="P67" s="123"/>
      <c r="Q67" s="102"/>
    </row>
    <row r="68" ht="15.75" customHeight="1">
      <c r="A68" s="129"/>
      <c r="B68" s="129"/>
      <c r="C68" s="131"/>
      <c r="D68" s="132"/>
      <c r="E68" s="133"/>
      <c r="F68" s="134"/>
      <c r="G68" s="133"/>
      <c r="H68" s="135"/>
      <c r="I68" s="131"/>
      <c r="J68" s="136"/>
      <c r="K68" s="131"/>
      <c r="L68" s="137"/>
      <c r="M68" s="82"/>
      <c r="N68" s="99"/>
      <c r="O68" s="100"/>
      <c r="P68" s="118"/>
      <c r="Q68" s="102"/>
    </row>
    <row r="69" ht="15.75" customHeight="1">
      <c r="A69" s="138"/>
      <c r="B69" s="146"/>
      <c r="C69" s="131"/>
      <c r="D69" s="140"/>
      <c r="E69" s="133"/>
      <c r="F69" s="141"/>
      <c r="G69" s="133"/>
      <c r="H69" s="142"/>
      <c r="I69" s="131"/>
      <c r="J69" s="143"/>
      <c r="K69" s="131"/>
      <c r="L69" s="144"/>
      <c r="M69" s="82"/>
      <c r="N69" s="113"/>
      <c r="O69" s="100"/>
      <c r="P69" s="123"/>
      <c r="Q69" s="102"/>
    </row>
    <row r="70" ht="15.75" customHeight="1">
      <c r="A70" s="129"/>
      <c r="B70" s="129"/>
      <c r="C70" s="131"/>
      <c r="D70" s="132"/>
      <c r="E70" s="133"/>
      <c r="F70" s="134"/>
      <c r="G70" s="133"/>
      <c r="H70" s="135"/>
      <c r="I70" s="131"/>
      <c r="J70" s="136"/>
      <c r="K70" s="131"/>
      <c r="L70" s="137"/>
      <c r="M70" s="82"/>
      <c r="N70" s="99"/>
      <c r="O70" s="100"/>
      <c r="P70" s="118"/>
      <c r="Q70" s="102"/>
    </row>
    <row r="71" ht="15.75" customHeight="1">
      <c r="A71" s="138"/>
      <c r="B71" s="146"/>
      <c r="C71" s="131"/>
      <c r="D71" s="140"/>
      <c r="E71" s="133"/>
      <c r="F71" s="141"/>
      <c r="G71" s="133"/>
      <c r="H71" s="142"/>
      <c r="I71" s="131"/>
      <c r="J71" s="143"/>
      <c r="K71" s="131"/>
      <c r="L71" s="144"/>
      <c r="M71" s="82"/>
      <c r="N71" s="113"/>
      <c r="O71" s="100"/>
      <c r="P71" s="123"/>
      <c r="Q71" s="102"/>
    </row>
    <row r="72" ht="15.75" customHeight="1">
      <c r="A72" s="129"/>
      <c r="B72" s="129"/>
      <c r="C72" s="131"/>
      <c r="D72" s="132"/>
      <c r="E72" s="133"/>
      <c r="F72" s="134"/>
      <c r="G72" s="133"/>
      <c r="H72" s="135"/>
      <c r="I72" s="131"/>
      <c r="J72" s="136"/>
      <c r="K72" s="131"/>
      <c r="L72" s="137"/>
      <c r="M72" s="82"/>
      <c r="N72" s="99"/>
      <c r="O72" s="100"/>
      <c r="P72" s="118"/>
      <c r="Q72" s="102"/>
    </row>
    <row r="73" ht="15.75" customHeight="1">
      <c r="A73" s="138"/>
      <c r="B73" s="146"/>
      <c r="C73" s="131"/>
      <c r="D73" s="146"/>
      <c r="E73" s="131"/>
      <c r="F73" s="147"/>
      <c r="G73" s="148"/>
      <c r="H73" s="147"/>
      <c r="I73" s="131"/>
      <c r="J73" s="143"/>
      <c r="K73" s="131"/>
      <c r="L73" s="144"/>
      <c r="M73" s="82"/>
      <c r="N73" s="149"/>
      <c r="O73" s="100"/>
      <c r="P73" s="123"/>
      <c r="Q73" s="102"/>
    </row>
    <row r="74" ht="15.75" customHeight="1">
      <c r="A74" s="129"/>
      <c r="B74" s="129"/>
      <c r="C74" s="131"/>
      <c r="D74" s="150"/>
      <c r="E74" s="131"/>
      <c r="F74" s="151"/>
      <c r="G74" s="152"/>
      <c r="H74" s="151"/>
      <c r="I74" s="131"/>
      <c r="J74" s="136"/>
      <c r="K74" s="131"/>
      <c r="L74" s="137"/>
      <c r="M74" s="82"/>
      <c r="N74" s="99"/>
      <c r="O74" s="100"/>
      <c r="P74" s="101"/>
      <c r="Q74" s="102"/>
    </row>
    <row r="75" ht="15.75" customHeight="1">
      <c r="A75" s="138"/>
      <c r="B75" s="146"/>
      <c r="C75" s="131"/>
      <c r="D75" s="153"/>
      <c r="E75" s="131"/>
      <c r="F75" s="154"/>
      <c r="G75" s="148"/>
      <c r="H75" s="154"/>
      <c r="I75" s="131"/>
      <c r="J75" s="143"/>
      <c r="K75" s="131"/>
      <c r="L75" s="144"/>
      <c r="M75" s="82"/>
      <c r="N75" s="113"/>
      <c r="O75" s="100"/>
      <c r="P75" s="114"/>
      <c r="Q75" s="102"/>
    </row>
    <row r="76" ht="15.75" customHeight="1">
      <c r="A76" s="129"/>
      <c r="B76" s="129"/>
      <c r="C76" s="131"/>
      <c r="D76" s="129"/>
      <c r="E76" s="131"/>
      <c r="F76" s="155"/>
      <c r="G76" s="148"/>
      <c r="H76" s="155"/>
      <c r="I76" s="131"/>
      <c r="J76" s="136"/>
      <c r="K76" s="131"/>
      <c r="L76" s="137"/>
      <c r="M76" s="82"/>
      <c r="N76" s="99"/>
      <c r="O76" s="100"/>
      <c r="P76" s="118"/>
      <c r="Q76" s="102"/>
    </row>
    <row r="77" ht="15.75" customHeight="1">
      <c r="A77" s="138"/>
      <c r="B77" s="146"/>
      <c r="C77" s="131"/>
      <c r="D77" s="146"/>
      <c r="E77" s="131"/>
      <c r="F77" s="147"/>
      <c r="G77" s="148"/>
      <c r="H77" s="147"/>
      <c r="I77" s="131"/>
      <c r="J77" s="143"/>
      <c r="K77" s="131"/>
      <c r="L77" s="144"/>
      <c r="M77" s="82"/>
      <c r="N77" s="149"/>
      <c r="O77" s="100"/>
      <c r="P77" s="123"/>
      <c r="Q77" s="102"/>
    </row>
    <row r="78" ht="15.75" customHeight="1">
      <c r="A78" s="129"/>
      <c r="B78" s="129"/>
      <c r="C78" s="131"/>
      <c r="D78" s="129"/>
      <c r="E78" s="131"/>
      <c r="F78" s="155"/>
      <c r="G78" s="148"/>
      <c r="H78" s="155"/>
      <c r="I78" s="131"/>
      <c r="J78" s="136"/>
      <c r="K78" s="131"/>
      <c r="L78" s="137"/>
      <c r="M78" s="82"/>
      <c r="N78" s="99"/>
      <c r="O78" s="100"/>
      <c r="P78" s="118"/>
      <c r="Q78" s="102"/>
    </row>
    <row r="79" ht="15.75" customHeight="1">
      <c r="A79" s="138"/>
      <c r="B79" s="159"/>
      <c r="C79" s="158"/>
      <c r="D79" s="159"/>
      <c r="E79" s="158"/>
      <c r="F79" s="160"/>
      <c r="G79" s="148"/>
      <c r="H79" s="160"/>
      <c r="I79" s="158"/>
      <c r="J79" s="161"/>
      <c r="K79" s="158"/>
      <c r="L79" s="162"/>
      <c r="M79" s="163"/>
      <c r="N79" s="164"/>
      <c r="O79" s="165"/>
      <c r="P79" s="166"/>
      <c r="Q79" s="167"/>
    </row>
    <row r="80" ht="15.75" customHeight="1">
      <c r="N80" s="54"/>
    </row>
    <row r="81" ht="15.75" customHeight="1">
      <c r="N81" s="54"/>
    </row>
    <row r="82" ht="15.75" customHeight="1">
      <c r="N82" s="54"/>
    </row>
    <row r="83" ht="15.75" customHeight="1">
      <c r="N83" s="54"/>
    </row>
    <row r="84" ht="15.75" customHeight="1">
      <c r="N84" s="54"/>
    </row>
    <row r="85" ht="15.75" customHeight="1">
      <c r="N85" s="54"/>
    </row>
    <row r="86" ht="15.75" customHeight="1">
      <c r="N86" s="54"/>
    </row>
    <row r="87" ht="15.75" customHeight="1">
      <c r="N87" s="54"/>
    </row>
    <row r="88" ht="15.75" customHeight="1">
      <c r="N88" s="54"/>
    </row>
    <row r="89" ht="15.75" customHeight="1">
      <c r="N89" s="54"/>
    </row>
    <row r="90" ht="15.75" customHeight="1">
      <c r="N90" s="54"/>
    </row>
  </sheetData>
  <mergeCells count="47">
    <mergeCell ref="F2:L2"/>
    <mergeCell ref="N2:Q2"/>
    <mergeCell ref="S2:U2"/>
    <mergeCell ref="W2:W3"/>
    <mergeCell ref="N3:Q3"/>
    <mergeCell ref="S5:U5"/>
    <mergeCell ref="W5:X5"/>
    <mergeCell ref="S6:U6"/>
    <mergeCell ref="S7:U7"/>
    <mergeCell ref="S8:U8"/>
    <mergeCell ref="S9:U9"/>
    <mergeCell ref="S10:U10"/>
    <mergeCell ref="S11:U11"/>
    <mergeCell ref="S12:U12"/>
    <mergeCell ref="S13:U13"/>
    <mergeCell ref="S14:U14"/>
    <mergeCell ref="S15:U15"/>
    <mergeCell ref="S16:U16"/>
    <mergeCell ref="S17:U17"/>
    <mergeCell ref="S18:U18"/>
    <mergeCell ref="S19:U19"/>
    <mergeCell ref="S20:U20"/>
    <mergeCell ref="S21:U21"/>
    <mergeCell ref="S22:U22"/>
    <mergeCell ref="S23:U23"/>
    <mergeCell ref="S24:U24"/>
    <mergeCell ref="S25:U25"/>
    <mergeCell ref="S26:U26"/>
    <mergeCell ref="S27:U27"/>
    <mergeCell ref="S28:U28"/>
    <mergeCell ref="S29:U29"/>
    <mergeCell ref="S30:U30"/>
    <mergeCell ref="S31:U31"/>
    <mergeCell ref="S32:U32"/>
    <mergeCell ref="S33:U33"/>
    <mergeCell ref="S41:U41"/>
    <mergeCell ref="S42:U42"/>
    <mergeCell ref="S43:U43"/>
    <mergeCell ref="S44:U44"/>
    <mergeCell ref="S45:U45"/>
    <mergeCell ref="S34:U34"/>
    <mergeCell ref="S35:U35"/>
    <mergeCell ref="S36:U36"/>
    <mergeCell ref="S37:U37"/>
    <mergeCell ref="S38:U38"/>
    <mergeCell ref="S39:U39"/>
    <mergeCell ref="S40:U40"/>
  </mergeCells>
  <conditionalFormatting sqref="S6:S37 S42:S44">
    <cfRule type="containsText" dxfId="1" priority="1" operator="containsText" text="Threshold">
      <formula>NOT(ISERROR(SEARCH(("Threshold"),(S6))))</formula>
    </cfRule>
  </conditionalFormatting>
  <conditionalFormatting sqref="S6:S37 S42:S44">
    <cfRule type="containsText" dxfId="2" priority="2" operator="containsText" text="Too Strong">
      <formula>NOT(ISERROR(SEARCH(("Too Strong"),(S6))))</formula>
    </cfRule>
  </conditionalFormatting>
  <conditionalFormatting sqref="S6:S37 S42:S44">
    <cfRule type="containsText" dxfId="3" priority="3" operator="containsText" text="Just Right">
      <formula>NOT(ISERROR(SEARCH(("Just Right"),(S6))))</formula>
    </cfRule>
  </conditionalFormatting>
  <conditionalFormatting sqref="S6:U37 S42:U44">
    <cfRule type="containsText" dxfId="4" priority="4" operator="containsText" text="Strong">
      <formula>NOT(ISERROR(SEARCH(("Strong"),(S6))))</formula>
    </cfRule>
  </conditionalFormatting>
  <dataValidations>
    <dataValidation type="list" allowBlank="1" showErrorMessage="1" sqref="S2">
      <formula1>Score!$AF$5:$AF$7</formula1>
    </dataValidation>
    <dataValidation type="list" allowBlank="1" showErrorMessage="1" sqref="Z9">
      <formula1>Score!$D$6:$D$38</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29"/>
    <col customWidth="1" min="2" max="2" width="6.0"/>
    <col customWidth="1" min="3" max="3" width="30.71"/>
    <col customWidth="1" min="4" max="4" width="47.0"/>
    <col customWidth="1" min="5" max="5" width="10.14"/>
    <col customWidth="1" min="6" max="6" width="32.29"/>
    <col customWidth="1" min="7" max="7" width="86.71"/>
    <col customWidth="1" min="8" max="8" width="6.43"/>
    <col customWidth="1" min="9" max="9" width="1.71"/>
    <col customWidth="1" hidden="1" min="10" max="10" width="8.86"/>
    <col customWidth="1" hidden="1" min="11" max="11" width="39.71"/>
    <col customWidth="1" hidden="1" min="12" max="12" width="2.0"/>
    <col customWidth="1" hidden="1" min="13" max="13" width="46.29"/>
    <col customWidth="1" min="14" max="14" width="2.14"/>
    <col customWidth="1" min="15" max="21" width="9.86"/>
  </cols>
  <sheetData>
    <row r="1">
      <c r="A1" s="7" t="s">
        <v>187</v>
      </c>
      <c r="D1" s="174"/>
      <c r="G1" s="175" t="s">
        <v>188</v>
      </c>
      <c r="H1" s="176"/>
      <c r="I1" s="177"/>
      <c r="J1" s="176"/>
      <c r="K1" s="176"/>
      <c r="M1" s="178" t="s">
        <v>189</v>
      </c>
      <c r="N1" s="177"/>
    </row>
    <row r="2">
      <c r="A2" s="19" t="s">
        <v>190</v>
      </c>
      <c r="D2" s="176"/>
      <c r="H2" s="176"/>
      <c r="I2" s="177"/>
      <c r="J2" s="176"/>
      <c r="K2" s="176"/>
      <c r="N2" s="177"/>
    </row>
    <row r="3">
      <c r="A3" s="19" t="s">
        <v>191</v>
      </c>
      <c r="B3" s="7" t="s">
        <v>192</v>
      </c>
      <c r="C3" s="7" t="s">
        <v>193</v>
      </c>
      <c r="D3" s="179" t="s">
        <v>194</v>
      </c>
      <c r="E3" s="7" t="s">
        <v>195</v>
      </c>
      <c r="G3" s="19" t="s">
        <v>196</v>
      </c>
      <c r="H3" s="176"/>
      <c r="I3" s="177"/>
      <c r="J3" s="176"/>
      <c r="K3" s="176"/>
      <c r="N3" s="177"/>
    </row>
    <row r="4">
      <c r="A4" s="19" t="s">
        <v>197</v>
      </c>
      <c r="B4" s="180" t="str">
        <f t="shared" ref="B4:B297" si="1">if(A4="","", LEFT(A4, FIND(" ", A4)-1))</f>
        <v>1</v>
      </c>
      <c r="C4" s="180" t="str">
        <f t="shared" ref="C4:C297" si="2">if(A4="","",TRIM(MID(A4, FIND(" ", A4)+1, FIND("(", A4)-FIND(" ", A4)-2)))</f>
        <v>Brotherhood Regalia</v>
      </c>
      <c r="D4" s="180" t="str">
        <f t="shared" ref="D4:D17" si="3">if(A4="","",VLOOKUP(E4, $J:$K, 2, FALSE))</f>
        <v>Adventures in the Forgotten Realms</v>
      </c>
      <c r="E4" s="180" t="str">
        <f t="shared" ref="E4:E297" si="4">if(A4="","",SUBSTITUTE(SUBSTITUTE(MID(A4, FIND("(", A4), FIND(")", A4) - FIND("(", A4) + 1), "(" , ""), ")" , ""))</f>
        <v>ACR</v>
      </c>
      <c r="G4" s="16" t="s">
        <v>198</v>
      </c>
      <c r="H4" s="176"/>
      <c r="I4" s="177"/>
      <c r="J4" s="180" t="str">
        <f t="shared" ref="J4:J114" si="5">if(M4="","", LEFT(M4, FIND(" = ", M4)-1))</f>
        <v>9ED</v>
      </c>
      <c r="K4" s="180" t="str">
        <f t="shared" ref="K4:K114" si="6">if(M4="","", TRIM(MID(M4, FIND("= ", M4) + 2, LEN(M4))))</f>
        <v>Ninth Edition</v>
      </c>
      <c r="M4" s="180" t="str">
        <f t="shared" ref="M4:M95" si="7">if(G4="","",IF(ISNUMBER(SEARCH("=", G4)), G4, TRIM(MID(G4, FIND("(" , G4) + 1, FIND(")", G4) - FIND("(" , G4) - 1)) &amp; " = " &amp; TRIM(LEFT(G4, FIND("(" , G4) - 1))))</f>
        <v>9ED = Ninth Edition</v>
      </c>
      <c r="N4" s="177"/>
    </row>
    <row r="5">
      <c r="A5" s="19" t="s">
        <v>199</v>
      </c>
      <c r="B5" s="180" t="str">
        <f t="shared" si="1"/>
        <v>3</v>
      </c>
      <c r="C5" s="180" t="str">
        <f t="shared" si="2"/>
        <v>Desynchronization</v>
      </c>
      <c r="D5" s="180" t="str">
        <f t="shared" si="3"/>
        <v>Adventures in the Forgotten Realms</v>
      </c>
      <c r="E5" s="180" t="str">
        <f t="shared" si="4"/>
        <v>ACR</v>
      </c>
      <c r="G5" s="16" t="s">
        <v>200</v>
      </c>
      <c r="H5" s="176"/>
      <c r="I5" s="177"/>
      <c r="J5" s="180" t="str">
        <f t="shared" si="5"/>
        <v>ACR</v>
      </c>
      <c r="K5" s="180" t="str">
        <f t="shared" si="6"/>
        <v>Adventures in the Forgotten Realms</v>
      </c>
      <c r="M5" s="180" t="str">
        <f t="shared" si="7"/>
        <v>ACR = Adventures in the Forgotten Realms</v>
      </c>
      <c r="N5" s="177"/>
    </row>
    <row r="6">
      <c r="A6" s="19" t="s">
        <v>201</v>
      </c>
      <c r="B6" s="180" t="str">
        <f t="shared" si="1"/>
        <v>1</v>
      </c>
      <c r="C6" s="180" t="str">
        <f t="shared" si="2"/>
        <v>Eagle Vision</v>
      </c>
      <c r="D6" s="180" t="str">
        <f t="shared" si="3"/>
        <v>Adventures in the Forgotten Realms</v>
      </c>
      <c r="E6" s="180" t="str">
        <f t="shared" si="4"/>
        <v>ACR</v>
      </c>
      <c r="G6" s="16" t="s">
        <v>202</v>
      </c>
      <c r="H6" s="176"/>
      <c r="I6" s="177"/>
      <c r="J6" s="180" t="str">
        <f t="shared" si="5"/>
        <v>AER</v>
      </c>
      <c r="K6" s="180" t="str">
        <f t="shared" si="6"/>
        <v>Aether Revolt</v>
      </c>
      <c r="M6" s="180" t="str">
        <f t="shared" si="7"/>
        <v>AER = Aether Revolt</v>
      </c>
      <c r="N6" s="177"/>
    </row>
    <row r="7">
      <c r="A7" s="19" t="s">
        <v>203</v>
      </c>
      <c r="B7" s="180" t="str">
        <f t="shared" si="1"/>
        <v>1</v>
      </c>
      <c r="C7" s="180" t="str">
        <f t="shared" si="2"/>
        <v>Haystack</v>
      </c>
      <c r="D7" s="180" t="str">
        <f t="shared" si="3"/>
        <v>Adventures in the Forgotten Realms</v>
      </c>
      <c r="E7" s="180" t="str">
        <f t="shared" si="4"/>
        <v>ACR</v>
      </c>
      <c r="G7" s="16" t="s">
        <v>204</v>
      </c>
      <c r="H7" s="176"/>
      <c r="I7" s="177"/>
      <c r="J7" s="180" t="str">
        <f t="shared" si="5"/>
        <v>AKH</v>
      </c>
      <c r="K7" s="180" t="str">
        <f t="shared" si="6"/>
        <v>Amonkhet</v>
      </c>
      <c r="M7" s="180" t="str">
        <f t="shared" si="7"/>
        <v>AKH = Amonkhet</v>
      </c>
      <c r="N7" s="177"/>
    </row>
    <row r="8">
      <c r="A8" s="19" t="s">
        <v>205</v>
      </c>
      <c r="B8" s="180" t="str">
        <f t="shared" si="1"/>
        <v>1</v>
      </c>
      <c r="C8" s="180" t="str">
        <f t="shared" si="2"/>
        <v>Felidar Guardian</v>
      </c>
      <c r="D8" s="180" t="str">
        <f t="shared" si="3"/>
        <v>Aether Revolt</v>
      </c>
      <c r="E8" s="180" t="str">
        <f t="shared" si="4"/>
        <v>AER</v>
      </c>
      <c r="G8" s="16" t="s">
        <v>206</v>
      </c>
      <c r="H8" s="176"/>
      <c r="I8" s="177"/>
      <c r="J8" s="180" t="str">
        <f t="shared" si="5"/>
        <v>ATH</v>
      </c>
      <c r="K8" s="180" t="str">
        <f t="shared" si="6"/>
        <v>Anthologies</v>
      </c>
      <c r="M8" s="180" t="str">
        <f t="shared" si="7"/>
        <v>ATH = Anthologies </v>
      </c>
      <c r="N8" s="177"/>
    </row>
    <row r="9">
      <c r="A9" s="19" t="s">
        <v>207</v>
      </c>
      <c r="B9" s="180" t="str">
        <f t="shared" si="1"/>
        <v>3</v>
      </c>
      <c r="C9" s="180" t="str">
        <f t="shared" si="2"/>
        <v>Strip Mine</v>
      </c>
      <c r="D9" s="180" t="str">
        <f t="shared" si="3"/>
        <v>Anthologies</v>
      </c>
      <c r="E9" s="180" t="str">
        <f t="shared" si="4"/>
        <v>ATH</v>
      </c>
      <c r="G9" s="16" t="s">
        <v>208</v>
      </c>
      <c r="H9" s="176"/>
      <c r="I9" s="177"/>
      <c r="J9" s="180" t="str">
        <f t="shared" si="5"/>
        <v>BFZ</v>
      </c>
      <c r="K9" s="180" t="str">
        <f t="shared" si="6"/>
        <v>Battle for Zendikar</v>
      </c>
      <c r="M9" s="180" t="str">
        <f t="shared" si="7"/>
        <v>BFZ = Battle for Zendikar</v>
      </c>
      <c r="N9" s="177"/>
    </row>
    <row r="10">
      <c r="A10" s="19" t="s">
        <v>209</v>
      </c>
      <c r="B10" s="180" t="str">
        <f t="shared" si="1"/>
        <v>2</v>
      </c>
      <c r="C10" s="180" t="str">
        <f t="shared" si="2"/>
        <v>Agate Instigator</v>
      </c>
      <c r="D10" s="180" t="str">
        <f t="shared" si="3"/>
        <v>Battle for Zendikar</v>
      </c>
      <c r="E10" s="180" t="str">
        <f t="shared" si="4"/>
        <v>BLC</v>
      </c>
      <c r="G10" s="16" t="s">
        <v>210</v>
      </c>
      <c r="H10" s="176"/>
      <c r="I10" s="177"/>
      <c r="J10" s="180" t="str">
        <f t="shared" si="5"/>
        <v>BIG</v>
      </c>
      <c r="K10" s="180" t="str">
        <f t="shared" si="6"/>
        <v>The Big Score</v>
      </c>
      <c r="M10" s="180" t="str">
        <f t="shared" si="7"/>
        <v>BIG = The Big Score</v>
      </c>
      <c r="N10" s="177"/>
    </row>
    <row r="11">
      <c r="A11" s="19" t="s">
        <v>211</v>
      </c>
      <c r="B11" s="180" t="str">
        <f t="shared" si="1"/>
        <v>1</v>
      </c>
      <c r="C11" s="180" t="str">
        <f t="shared" si="2"/>
        <v>Jacked Rabbit</v>
      </c>
      <c r="D11" s="180" t="str">
        <f t="shared" si="3"/>
        <v>Battle for Zendikar</v>
      </c>
      <c r="E11" s="180" t="str">
        <f t="shared" si="4"/>
        <v>BLC</v>
      </c>
      <c r="G11" s="16" t="s">
        <v>212</v>
      </c>
      <c r="H11" s="176"/>
      <c r="I11" s="177"/>
      <c r="J11" s="180" t="str">
        <f t="shared" si="5"/>
        <v>BLB</v>
      </c>
      <c r="K11" s="180" t="str">
        <f t="shared" si="6"/>
        <v>Battlebond</v>
      </c>
      <c r="M11" s="180" t="str">
        <f t="shared" si="7"/>
        <v>BLB = Battlebond</v>
      </c>
      <c r="N11" s="177"/>
    </row>
    <row r="12">
      <c r="A12" s="19" t="s">
        <v>213</v>
      </c>
      <c r="B12" s="180" t="str">
        <f t="shared" si="1"/>
        <v>1</v>
      </c>
      <c r="C12" s="180" t="str">
        <f t="shared" si="2"/>
        <v>Pollywog Prodigy</v>
      </c>
      <c r="D12" s="180" t="str">
        <f t="shared" si="3"/>
        <v>Battle for Zendikar</v>
      </c>
      <c r="E12" s="180" t="str">
        <f t="shared" si="4"/>
        <v>BLC</v>
      </c>
      <c r="G12" s="16" t="s">
        <v>214</v>
      </c>
      <c r="H12" s="176"/>
      <c r="I12" s="177"/>
      <c r="J12" s="180" t="str">
        <f t="shared" si="5"/>
        <v>BLC</v>
      </c>
      <c r="K12" s="180" t="str">
        <f t="shared" si="6"/>
        <v>Battle for Zendikar</v>
      </c>
      <c r="M12" s="180" t="str">
        <f t="shared" si="7"/>
        <v>BLC = Battle for Zendikar</v>
      </c>
      <c r="N12" s="177"/>
    </row>
    <row r="13">
      <c r="A13" s="19" t="s">
        <v>215</v>
      </c>
      <c r="B13" s="180" t="str">
        <f t="shared" si="1"/>
        <v>1</v>
      </c>
      <c r="C13" s="180" t="str">
        <f t="shared" si="2"/>
        <v>Skyclave Apparition</v>
      </c>
      <c r="D13" s="180" t="str">
        <f t="shared" si="3"/>
        <v>Battle for Zendikar</v>
      </c>
      <c r="E13" s="180" t="str">
        <f t="shared" si="4"/>
        <v>BLC</v>
      </c>
      <c r="G13" s="16" t="s">
        <v>216</v>
      </c>
      <c r="H13" s="176"/>
      <c r="I13" s="177"/>
      <c r="J13" s="180" t="str">
        <f t="shared" si="5"/>
        <v>C19</v>
      </c>
      <c r="K13" s="180" t="str">
        <f t="shared" si="6"/>
        <v>Commander 2019</v>
      </c>
      <c r="M13" s="180" t="str">
        <f t="shared" si="7"/>
        <v>C19 = Commander 2019</v>
      </c>
      <c r="N13" s="177"/>
    </row>
    <row r="14">
      <c r="A14" s="19" t="s">
        <v>217</v>
      </c>
      <c r="B14" s="180" t="str">
        <f t="shared" si="1"/>
        <v>1</v>
      </c>
      <c r="C14" s="180" t="str">
        <f t="shared" si="2"/>
        <v>Beza, the Bounding Spring</v>
      </c>
      <c r="D14" s="180" t="str">
        <f t="shared" si="3"/>
        <v>Battlebond</v>
      </c>
      <c r="E14" s="180" t="str">
        <f t="shared" si="4"/>
        <v>BLB</v>
      </c>
      <c r="G14" s="16" t="s">
        <v>218</v>
      </c>
      <c r="H14" s="176"/>
      <c r="I14" s="177"/>
      <c r="J14" s="180" t="str">
        <f t="shared" si="5"/>
        <v>C20</v>
      </c>
      <c r="K14" s="180" t="str">
        <f t="shared" si="6"/>
        <v>Commander 2020</v>
      </c>
      <c r="M14" s="180" t="str">
        <f t="shared" si="7"/>
        <v>C20 = Commander 2020</v>
      </c>
      <c r="N14" s="177"/>
    </row>
    <row r="15">
      <c r="A15" s="19" t="s">
        <v>219</v>
      </c>
      <c r="B15" s="180" t="str">
        <f t="shared" si="1"/>
        <v>1</v>
      </c>
      <c r="C15" s="180" t="str">
        <f t="shared" si="2"/>
        <v>Coruscation Mage</v>
      </c>
      <c r="D15" s="180" t="str">
        <f t="shared" si="3"/>
        <v>Battlebond</v>
      </c>
      <c r="E15" s="180" t="str">
        <f t="shared" si="4"/>
        <v>BLB</v>
      </c>
      <c r="G15" s="16" t="s">
        <v>220</v>
      </c>
      <c r="H15" s="176"/>
      <c r="I15" s="177"/>
      <c r="J15" s="180" t="str">
        <f t="shared" si="5"/>
        <v>C21</v>
      </c>
      <c r="K15" s="180" t="str">
        <f t="shared" si="6"/>
        <v>Commander 2021</v>
      </c>
      <c r="M15" s="180" t="str">
        <f t="shared" si="7"/>
        <v>C21 = Commander 2021</v>
      </c>
      <c r="N15" s="177"/>
    </row>
    <row r="16">
      <c r="A16" s="19" t="s">
        <v>221</v>
      </c>
      <c r="B16" s="180" t="str">
        <f t="shared" si="1"/>
        <v>5</v>
      </c>
      <c r="C16" s="180" t="str">
        <f t="shared" si="2"/>
        <v>Dawn's Truce</v>
      </c>
      <c r="D16" s="180" t="str">
        <f t="shared" si="3"/>
        <v>Battlebond</v>
      </c>
      <c r="E16" s="180" t="str">
        <f t="shared" si="4"/>
        <v>BLB</v>
      </c>
      <c r="G16" s="16" t="s">
        <v>222</v>
      </c>
      <c r="H16" s="176"/>
      <c r="I16" s="177"/>
      <c r="J16" s="180" t="str">
        <f t="shared" si="5"/>
        <v>CLB</v>
      </c>
      <c r="K16" s="180" t="str">
        <f t="shared" si="6"/>
        <v>Commander Legends: Battle for Baldur's Gate</v>
      </c>
      <c r="M16" s="180" t="str">
        <f t="shared" si="7"/>
        <v>CLB = Commander Legends: Battle for Baldur's Gate</v>
      </c>
      <c r="N16" s="177"/>
    </row>
    <row r="17">
      <c r="A17" s="19" t="s">
        <v>223</v>
      </c>
      <c r="B17" s="180" t="str">
        <f t="shared" si="1"/>
        <v>1</v>
      </c>
      <c r="C17" s="180" t="str">
        <f t="shared" si="2"/>
        <v>Fountainport</v>
      </c>
      <c r="D17" s="180" t="str">
        <f t="shared" si="3"/>
        <v>Battlebond</v>
      </c>
      <c r="E17" s="180" t="str">
        <f t="shared" si="4"/>
        <v>BLB</v>
      </c>
      <c r="G17" s="16" t="s">
        <v>224</v>
      </c>
      <c r="H17" s="176"/>
      <c r="I17" s="177"/>
      <c r="J17" s="180" t="str">
        <f t="shared" si="5"/>
        <v>CLU</v>
      </c>
      <c r="K17" s="180" t="str">
        <f t="shared" si="6"/>
        <v>Commander Legends: Battle for Baldur's Gate</v>
      </c>
      <c r="M17" s="180" t="str">
        <f t="shared" si="7"/>
        <v>CLU = Commander Legends: Battle for Baldur's Gate</v>
      </c>
      <c r="N17" s="177"/>
    </row>
    <row r="18">
      <c r="A18" s="19" t="s">
        <v>225</v>
      </c>
      <c r="B18" s="180" t="str">
        <f t="shared" si="1"/>
        <v>1</v>
      </c>
      <c r="C18" s="180" t="str">
        <f t="shared" si="2"/>
        <v>Hearthborn Battler</v>
      </c>
      <c r="D18" s="180" t="str">
        <f>if(A18="","",VLOOKUP(E18, J:K, 2, FALSE))</f>
        <v>Battlebond</v>
      </c>
      <c r="E18" s="180" t="str">
        <f t="shared" si="4"/>
        <v>BLB</v>
      </c>
      <c r="G18" s="16" t="s">
        <v>226</v>
      </c>
      <c r="H18" s="176"/>
      <c r="I18" s="177"/>
      <c r="J18" s="180" t="str">
        <f t="shared" si="5"/>
        <v>CMA</v>
      </c>
      <c r="K18" s="180" t="str">
        <f t="shared" si="6"/>
        <v>Commander Anthology</v>
      </c>
      <c r="M18" s="180" t="str">
        <f t="shared" si="7"/>
        <v>CMA = Commander Anthology</v>
      </c>
      <c r="N18" s="177"/>
    </row>
    <row r="19">
      <c r="A19" s="19" t="s">
        <v>227</v>
      </c>
      <c r="B19" s="180" t="str">
        <f t="shared" si="1"/>
        <v>2</v>
      </c>
      <c r="C19" s="180" t="str">
        <f t="shared" si="2"/>
        <v>Kitsa, Otterball Elite</v>
      </c>
      <c r="D19" s="180" t="str">
        <f t="shared" ref="D19:D32" si="8">if(A19="","",VLOOKUP(E19, $J:$K, 2, FALSE))</f>
        <v>Battlebond</v>
      </c>
      <c r="E19" s="180" t="str">
        <f t="shared" si="4"/>
        <v>BLB</v>
      </c>
      <c r="G19" s="16" t="s">
        <v>228</v>
      </c>
      <c r="H19" s="176"/>
      <c r="I19" s="177"/>
      <c r="J19" s="180" t="str">
        <f t="shared" si="5"/>
        <v>CMR</v>
      </c>
      <c r="K19" s="180" t="str">
        <f t="shared" si="6"/>
        <v>Commander Legends</v>
      </c>
      <c r="M19" s="180" t="str">
        <f t="shared" si="7"/>
        <v>CMR = Commander Legends</v>
      </c>
      <c r="N19" s="177"/>
    </row>
    <row r="20">
      <c r="A20" s="19" t="s">
        <v>229</v>
      </c>
      <c r="B20" s="180" t="str">
        <f t="shared" si="1"/>
        <v>1</v>
      </c>
      <c r="C20" s="180" t="str">
        <f t="shared" si="2"/>
        <v>Long River's Pull</v>
      </c>
      <c r="D20" s="180" t="str">
        <f t="shared" si="8"/>
        <v>Battlebond</v>
      </c>
      <c r="E20" s="180" t="str">
        <f t="shared" si="4"/>
        <v>BLB</v>
      </c>
      <c r="G20" s="16" t="s">
        <v>230</v>
      </c>
      <c r="H20" s="176"/>
      <c r="I20" s="177"/>
      <c r="J20" s="180" t="str">
        <f t="shared" si="5"/>
        <v>DAG</v>
      </c>
      <c r="K20" s="180" t="str">
        <f t="shared" si="6"/>
        <v>Duel Decks: Anthology</v>
      </c>
      <c r="M20" s="180" t="str">
        <f t="shared" si="7"/>
        <v>DAG = Duel Decks: Anthology</v>
      </c>
      <c r="N20" s="177"/>
    </row>
    <row r="21">
      <c r="A21" s="19" t="s">
        <v>231</v>
      </c>
      <c r="B21" s="180" t="str">
        <f t="shared" si="1"/>
        <v>1</v>
      </c>
      <c r="C21" s="180" t="str">
        <f t="shared" si="2"/>
        <v>Patchwork Banner</v>
      </c>
      <c r="D21" s="180" t="str">
        <f t="shared" si="8"/>
        <v>Battlebond</v>
      </c>
      <c r="E21" s="180" t="str">
        <f t="shared" si="4"/>
        <v>BLB</v>
      </c>
      <c r="G21" s="16" t="s">
        <v>232</v>
      </c>
      <c r="H21" s="176"/>
      <c r="I21" s="177"/>
      <c r="J21" s="180" t="str">
        <f t="shared" si="5"/>
        <v>DDD</v>
      </c>
      <c r="K21" s="180" t="str">
        <f t="shared" si="6"/>
        <v>Duel Decks: Divine vs. Demonic</v>
      </c>
      <c r="M21" s="180" t="str">
        <f t="shared" si="7"/>
        <v>DDD = Duel Decks: Divine vs. Demonic</v>
      </c>
      <c r="N21" s="177"/>
    </row>
    <row r="22">
      <c r="A22" s="19" t="s">
        <v>233</v>
      </c>
      <c r="B22" s="180" t="str">
        <f t="shared" si="1"/>
        <v>1</v>
      </c>
      <c r="C22" s="180" t="str">
        <f t="shared" si="2"/>
        <v>Starfall Invocation</v>
      </c>
      <c r="D22" s="180" t="str">
        <f t="shared" si="8"/>
        <v>Battlebond</v>
      </c>
      <c r="E22" s="180" t="str">
        <f t="shared" si="4"/>
        <v>BLB</v>
      </c>
      <c r="G22" s="16" t="s">
        <v>234</v>
      </c>
      <c r="H22" s="176"/>
      <c r="I22" s="177"/>
      <c r="J22" s="180" t="str">
        <f t="shared" si="5"/>
        <v>DDF</v>
      </c>
      <c r="K22" s="180" t="str">
        <f t="shared" si="6"/>
        <v>Duel Decks: Elves vs. Goblins</v>
      </c>
      <c r="M22" s="180" t="str">
        <f t="shared" si="7"/>
        <v>DDF = Duel Decks: Elves vs. Goblins</v>
      </c>
      <c r="N22" s="177"/>
    </row>
    <row r="23">
      <c r="A23" s="19" t="s">
        <v>235</v>
      </c>
      <c r="B23" s="180" t="str">
        <f t="shared" si="1"/>
        <v>5</v>
      </c>
      <c r="C23" s="180" t="str">
        <f t="shared" si="2"/>
        <v>Three Tree City</v>
      </c>
      <c r="D23" s="180" t="str">
        <f t="shared" si="8"/>
        <v>Battlebond</v>
      </c>
      <c r="E23" s="180" t="str">
        <f t="shared" si="4"/>
        <v>BLB</v>
      </c>
      <c r="G23" s="16" t="s">
        <v>236</v>
      </c>
      <c r="H23" s="176"/>
      <c r="I23" s="177"/>
      <c r="J23" s="180" t="str">
        <f t="shared" si="5"/>
        <v>DMR</v>
      </c>
      <c r="K23" s="180" t="str">
        <f t="shared" si="6"/>
        <v>Dominaria Remastered</v>
      </c>
      <c r="M23" s="180" t="str">
        <f t="shared" si="7"/>
        <v>DMR = Dominaria Remastered</v>
      </c>
      <c r="N23" s="177"/>
    </row>
    <row r="24" ht="15.75" customHeight="1">
      <c r="A24" s="19" t="s">
        <v>237</v>
      </c>
      <c r="B24" s="180" t="str">
        <f t="shared" si="1"/>
        <v>1</v>
      </c>
      <c r="C24" s="180" t="str">
        <f t="shared" si="2"/>
        <v>Mass Diminish</v>
      </c>
      <c r="D24" s="180" t="str">
        <f t="shared" si="8"/>
        <v>Commander 2019</v>
      </c>
      <c r="E24" s="180" t="str">
        <f t="shared" si="4"/>
        <v>C19</v>
      </c>
      <c r="G24" s="16" t="s">
        <v>238</v>
      </c>
      <c r="H24" s="176"/>
      <c r="I24" s="177"/>
      <c r="J24" s="180" t="str">
        <f t="shared" si="5"/>
        <v>DOM</v>
      </c>
      <c r="K24" s="180" t="str">
        <f t="shared" si="6"/>
        <v>Dominaria</v>
      </c>
      <c r="M24" s="180" t="str">
        <f t="shared" si="7"/>
        <v>DOM = Dominaria</v>
      </c>
      <c r="N24" s="177"/>
    </row>
    <row r="25" ht="15.75" customHeight="1">
      <c r="A25" s="19" t="s">
        <v>239</v>
      </c>
      <c r="B25" s="180" t="str">
        <f t="shared" si="1"/>
        <v>2</v>
      </c>
      <c r="C25" s="180" t="str">
        <f t="shared" si="2"/>
        <v>Primal Growth</v>
      </c>
      <c r="D25" s="180" t="str">
        <f t="shared" si="8"/>
        <v>Commander Anthology</v>
      </c>
      <c r="E25" s="180" t="str">
        <f t="shared" si="4"/>
        <v>CMA</v>
      </c>
      <c r="G25" s="16" t="s">
        <v>240</v>
      </c>
      <c r="H25" s="176"/>
      <c r="I25" s="177"/>
      <c r="J25" s="180" t="str">
        <f t="shared" si="5"/>
        <v>DPA</v>
      </c>
      <c r="K25" s="180" t="str">
        <f t="shared" si="6"/>
        <v>Duel Decks: Phyrexia vs. the Coalition</v>
      </c>
      <c r="M25" s="180" t="str">
        <f t="shared" si="7"/>
        <v>DPA = Duel Decks: Phyrexia vs. the Coalition</v>
      </c>
      <c r="N25" s="177"/>
    </row>
    <row r="26" ht="15.75" customHeight="1">
      <c r="A26" s="19" t="s">
        <v>241</v>
      </c>
      <c r="B26" s="180" t="str">
        <f t="shared" si="1"/>
        <v>1</v>
      </c>
      <c r="C26" s="180" t="str">
        <f t="shared" si="2"/>
        <v>Angel of Vitality</v>
      </c>
      <c r="D26" s="180" t="str">
        <f t="shared" si="8"/>
        <v>Commander Legends: Battle for Baldur's Gate</v>
      </c>
      <c r="E26" s="180" t="str">
        <f t="shared" si="4"/>
        <v>CLU</v>
      </c>
      <c r="G26" s="19" t="s">
        <v>242</v>
      </c>
      <c r="H26" s="176"/>
      <c r="I26" s="177"/>
      <c r="J26" s="180" t="str">
        <f t="shared" si="5"/>
        <v>DSC</v>
      </c>
      <c r="K26" s="180" t="str">
        <f t="shared" si="6"/>
        <v>Duskmourn: House of Horror Commander</v>
      </c>
      <c r="M26" s="180" t="str">
        <f t="shared" si="7"/>
        <v>DSC = Duskmourn: House of Horror Commander</v>
      </c>
      <c r="N26" s="177"/>
    </row>
    <row r="27" ht="15.75" customHeight="1">
      <c r="A27" s="19" t="s">
        <v>243</v>
      </c>
      <c r="B27" s="180" t="str">
        <f t="shared" si="1"/>
        <v>1</v>
      </c>
      <c r="C27" s="180" t="str">
        <f t="shared" si="2"/>
        <v>Bag of Holding</v>
      </c>
      <c r="D27" s="180" t="str">
        <f t="shared" si="8"/>
        <v>Commander Legends: Battle for Baldur's Gate</v>
      </c>
      <c r="E27" s="180" t="str">
        <f t="shared" si="4"/>
        <v>CLB</v>
      </c>
      <c r="G27" s="16" t="s">
        <v>244</v>
      </c>
      <c r="H27" s="176"/>
      <c r="I27" s="177"/>
      <c r="J27" s="180" t="str">
        <f t="shared" si="5"/>
        <v>DSK</v>
      </c>
      <c r="K27" s="180" t="str">
        <f t="shared" si="6"/>
        <v>Dominaria United Commander</v>
      </c>
      <c r="M27" s="180" t="str">
        <f t="shared" si="7"/>
        <v>DSK = Dominaria United Commander</v>
      </c>
      <c r="N27" s="177"/>
    </row>
    <row r="28" ht="15.75" customHeight="1">
      <c r="A28" s="19" t="s">
        <v>245</v>
      </c>
      <c r="B28" s="180" t="str">
        <f t="shared" si="1"/>
        <v>2</v>
      </c>
      <c r="C28" s="180" t="str">
        <f t="shared" si="2"/>
        <v>Everybody Lives!</v>
      </c>
      <c r="D28" s="180" t="str">
        <f t="shared" si="8"/>
        <v>Commander Legends: Battle for Baldur's Gate</v>
      </c>
      <c r="E28" s="180" t="str">
        <f t="shared" si="4"/>
        <v>WHO</v>
      </c>
      <c r="G28" s="16" t="s">
        <v>246</v>
      </c>
      <c r="H28" s="176"/>
      <c r="I28" s="177"/>
      <c r="J28" s="180" t="str">
        <f t="shared" si="5"/>
        <v>DTK</v>
      </c>
      <c r="K28" s="180" t="str">
        <f t="shared" si="6"/>
        <v>Dragons of Tarkir</v>
      </c>
      <c r="M28" s="180" t="str">
        <f t="shared" si="7"/>
        <v>DTK = Dragons of Tarkir</v>
      </c>
      <c r="N28" s="177"/>
    </row>
    <row r="29" ht="15.75" customHeight="1">
      <c r="A29" s="19" t="s">
        <v>247</v>
      </c>
      <c r="B29" s="180" t="str">
        <f t="shared" si="1"/>
        <v>1</v>
      </c>
      <c r="C29" s="180" t="str">
        <f t="shared" si="2"/>
        <v>Flatline</v>
      </c>
      <c r="D29" s="180" t="str">
        <f t="shared" si="8"/>
        <v>Commander Legends: Battle for Baldur's Gate</v>
      </c>
      <c r="E29" s="180" t="str">
        <f t="shared" si="4"/>
        <v>WHO</v>
      </c>
      <c r="G29" s="16" t="s">
        <v>248</v>
      </c>
      <c r="H29" s="176"/>
      <c r="I29" s="177"/>
      <c r="J29" s="180" t="str">
        <f t="shared" si="5"/>
        <v>DYN</v>
      </c>
      <c r="K29" s="180" t="str">
        <f t="shared" si="6"/>
        <v>Kaldheim</v>
      </c>
      <c r="M29" s="180" t="str">
        <f t="shared" si="7"/>
        <v>DYN = Kaldheim</v>
      </c>
      <c r="N29" s="177"/>
    </row>
    <row r="30" ht="15.75" customHeight="1">
      <c r="A30" s="19" t="s">
        <v>249</v>
      </c>
      <c r="B30" s="180" t="str">
        <f t="shared" si="1"/>
        <v>1</v>
      </c>
      <c r="C30" s="180" t="str">
        <f t="shared" si="2"/>
        <v>Herald of Ilharg</v>
      </c>
      <c r="D30" s="180" t="str">
        <f t="shared" si="8"/>
        <v>Commander Legends: Battle for Baldur's Gate</v>
      </c>
      <c r="E30" s="180" t="str">
        <f t="shared" si="4"/>
        <v>CLU</v>
      </c>
      <c r="G30" s="16" t="s">
        <v>250</v>
      </c>
      <c r="H30" s="176"/>
      <c r="I30" s="177"/>
      <c r="J30" s="180" t="str">
        <f t="shared" si="5"/>
        <v>ELD</v>
      </c>
      <c r="K30" s="180" t="str">
        <f t="shared" si="6"/>
        <v>Throne of Eldraine</v>
      </c>
      <c r="M30" s="180" t="str">
        <f t="shared" si="7"/>
        <v>ELD = Throne of Eldraine</v>
      </c>
      <c r="N30" s="177"/>
    </row>
    <row r="31" ht="15.75" customHeight="1">
      <c r="A31" s="19" t="s">
        <v>251</v>
      </c>
      <c r="B31" s="180" t="str">
        <f t="shared" si="1"/>
        <v>1</v>
      </c>
      <c r="C31" s="180" t="str">
        <f t="shared" si="2"/>
        <v>Impending Flux</v>
      </c>
      <c r="D31" s="180" t="str">
        <f t="shared" si="8"/>
        <v>Commander Legends: Battle for Baldur's Gate</v>
      </c>
      <c r="E31" s="180" t="str">
        <f t="shared" si="4"/>
        <v>WHO</v>
      </c>
      <c r="G31" s="16" t="s">
        <v>252</v>
      </c>
      <c r="H31" s="176"/>
      <c r="I31" s="177"/>
      <c r="J31" s="180" t="str">
        <f t="shared" si="5"/>
        <v>EMN</v>
      </c>
      <c r="K31" s="180" t="str">
        <f t="shared" si="6"/>
        <v>Eldritch Moon</v>
      </c>
      <c r="M31" s="180" t="str">
        <f t="shared" si="7"/>
        <v>EMN = Eldritch Moon</v>
      </c>
      <c r="N31" s="177"/>
    </row>
    <row r="32" ht="15.75" customHeight="1">
      <c r="A32" s="19" t="s">
        <v>253</v>
      </c>
      <c r="B32" s="180" t="str">
        <f t="shared" si="1"/>
        <v>1</v>
      </c>
      <c r="C32" s="180" t="str">
        <f t="shared" si="2"/>
        <v>Quantum Misalignment</v>
      </c>
      <c r="D32" s="180" t="str">
        <f t="shared" si="8"/>
        <v>Commander Legends: Battle for Baldur's Gate</v>
      </c>
      <c r="E32" s="180" t="str">
        <f t="shared" si="4"/>
        <v>WHO</v>
      </c>
      <c r="G32" s="16" t="s">
        <v>254</v>
      </c>
      <c r="H32" s="176"/>
      <c r="I32" s="177"/>
      <c r="J32" s="180" t="str">
        <f t="shared" si="5"/>
        <v>EVE</v>
      </c>
      <c r="K32" s="180" t="str">
        <f t="shared" si="6"/>
        <v>Eventide</v>
      </c>
      <c r="M32" s="180" t="str">
        <f t="shared" si="7"/>
        <v>EVE = Eventide</v>
      </c>
      <c r="N32" s="177"/>
    </row>
    <row r="33" ht="15.75" customHeight="1">
      <c r="A33" s="19" t="s">
        <v>255</v>
      </c>
      <c r="B33" s="180" t="str">
        <f t="shared" si="1"/>
        <v>2</v>
      </c>
      <c r="C33" s="180" t="str">
        <f t="shared" si="2"/>
        <v>Suppressor Skyguard</v>
      </c>
      <c r="D33" s="180" t="str">
        <f>if(A33="","",VLOOKUP(E33, J:K, 2, FALSE))</f>
        <v>Commander Legends: Battle for Baldur's Gate</v>
      </c>
      <c r="E33" s="180" t="str">
        <f t="shared" si="4"/>
        <v>CLU</v>
      </c>
      <c r="G33" s="16" t="s">
        <v>256</v>
      </c>
      <c r="H33" s="176"/>
      <c r="I33" s="177"/>
      <c r="J33" s="180" t="str">
        <f t="shared" si="5"/>
        <v>FUT</v>
      </c>
      <c r="K33" s="180" t="str">
        <f t="shared" si="6"/>
        <v>Future Sight</v>
      </c>
      <c r="M33" s="180" t="str">
        <f t="shared" si="7"/>
        <v>FUT = Future Sight</v>
      </c>
      <c r="N33" s="177"/>
    </row>
    <row r="34" ht="15.75" customHeight="1">
      <c r="A34" s="19" t="s">
        <v>257</v>
      </c>
      <c r="B34" s="180" t="str">
        <f t="shared" si="1"/>
        <v>1</v>
      </c>
      <c r="C34" s="180" t="str">
        <f t="shared" si="2"/>
        <v>Abundance</v>
      </c>
      <c r="D34" s="180" t="str">
        <f t="shared" ref="D34:D48" si="9">if(A34="","",VLOOKUP(E34, $J:$K, 2, FALSE))</f>
        <v>Commander Masters</v>
      </c>
      <c r="E34" s="180" t="str">
        <f t="shared" si="4"/>
        <v>CMM</v>
      </c>
      <c r="G34" s="16" t="s">
        <v>258</v>
      </c>
      <c r="H34" s="176"/>
      <c r="I34" s="177"/>
      <c r="J34" s="180" t="str">
        <f t="shared" si="5"/>
        <v>GDS</v>
      </c>
      <c r="K34" s="180" t="str">
        <f t="shared" si="6"/>
        <v>Guilds of Ravnica: The Gathering</v>
      </c>
      <c r="M34" s="180" t="str">
        <f t="shared" si="7"/>
        <v>GDS = Guilds of Ravnica: The Gathering</v>
      </c>
      <c r="N34" s="177"/>
    </row>
    <row r="35" ht="15.75" customHeight="1">
      <c r="A35" s="19" t="s">
        <v>259</v>
      </c>
      <c r="B35" s="180" t="str">
        <f t="shared" si="1"/>
        <v>1</v>
      </c>
      <c r="C35" s="180" t="str">
        <f t="shared" si="2"/>
        <v>Ajani, Strength of the Pride</v>
      </c>
      <c r="D35" s="180" t="str">
        <f t="shared" si="9"/>
        <v>Core Set 2020</v>
      </c>
      <c r="E35" s="180" t="str">
        <f t="shared" si="4"/>
        <v>M20</v>
      </c>
      <c r="G35" s="16" t="s">
        <v>260</v>
      </c>
      <c r="H35" s="176"/>
      <c r="I35" s="177"/>
      <c r="J35" s="180" t="str">
        <f t="shared" si="5"/>
        <v>GRN</v>
      </c>
      <c r="K35" s="180" t="str">
        <f t="shared" si="6"/>
        <v>Guilds of Ravnica</v>
      </c>
      <c r="M35" s="180" t="str">
        <f t="shared" si="7"/>
        <v>GRN = Guilds of Ravnica</v>
      </c>
      <c r="N35" s="177"/>
    </row>
    <row r="36" ht="15.75" customHeight="1">
      <c r="A36" s="19" t="s">
        <v>261</v>
      </c>
      <c r="B36" s="180" t="str">
        <f t="shared" si="1"/>
        <v>1</v>
      </c>
      <c r="C36" s="180" t="str">
        <f t="shared" si="2"/>
        <v>Exploration</v>
      </c>
      <c r="D36" s="180" t="str">
        <f t="shared" si="9"/>
        <v>Dominaria Remastered</v>
      </c>
      <c r="E36" s="180" t="str">
        <f t="shared" si="4"/>
        <v>DMR</v>
      </c>
      <c r="G36" s="16" t="s">
        <v>262</v>
      </c>
      <c r="H36" s="176"/>
      <c r="I36" s="177"/>
      <c r="J36" s="180" t="str">
        <f t="shared" si="5"/>
        <v>HOU</v>
      </c>
      <c r="K36" s="180" t="str">
        <f t="shared" si="6"/>
        <v>Hour of Devastation</v>
      </c>
      <c r="M36" s="180" t="str">
        <f t="shared" si="7"/>
        <v>HOU = Hour of Devastation</v>
      </c>
      <c r="N36" s="177"/>
    </row>
    <row r="37" ht="15.75" customHeight="1">
      <c r="A37" s="19" t="s">
        <v>263</v>
      </c>
      <c r="B37" s="180" t="str">
        <f t="shared" si="1"/>
        <v>1</v>
      </c>
      <c r="C37" s="180" t="str">
        <f t="shared" si="2"/>
        <v>Krosan Restorer</v>
      </c>
      <c r="D37" s="180" t="str">
        <f t="shared" si="9"/>
        <v>Dominaria Remastered</v>
      </c>
      <c r="E37" s="180" t="str">
        <f t="shared" si="4"/>
        <v>DMR</v>
      </c>
      <c r="G37" s="16" t="s">
        <v>264</v>
      </c>
      <c r="H37" s="176"/>
      <c r="I37" s="177"/>
      <c r="J37" s="180" t="str">
        <f t="shared" si="5"/>
        <v>IKO</v>
      </c>
      <c r="K37" s="180" t="str">
        <f t="shared" si="6"/>
        <v>Ikoria: Lair of Behemoths</v>
      </c>
      <c r="M37" s="180" t="str">
        <f t="shared" si="7"/>
        <v>IKO = Ikoria: Lair of Behemoths</v>
      </c>
      <c r="N37" s="177"/>
    </row>
    <row r="38" ht="15.75" customHeight="1">
      <c r="A38" s="19" t="s">
        <v>265</v>
      </c>
      <c r="B38" s="180" t="str">
        <f t="shared" si="1"/>
        <v>1</v>
      </c>
      <c r="C38" s="180" t="str">
        <f t="shared" si="2"/>
        <v>Overmaster</v>
      </c>
      <c r="D38" s="180" t="str">
        <f t="shared" si="9"/>
        <v>Dominaria Remastered</v>
      </c>
      <c r="E38" s="180" t="str">
        <f t="shared" si="4"/>
        <v>DMR</v>
      </c>
      <c r="G38" s="16" t="s">
        <v>266</v>
      </c>
      <c r="H38" s="176"/>
      <c r="I38" s="177"/>
      <c r="J38" s="180" t="str">
        <f t="shared" si="5"/>
        <v>KLD</v>
      </c>
      <c r="K38" s="180" t="str">
        <f t="shared" si="6"/>
        <v>Kaladesh</v>
      </c>
      <c r="M38" s="180" t="str">
        <f t="shared" si="7"/>
        <v>KLD = Kaladesh</v>
      </c>
      <c r="N38" s="177"/>
    </row>
    <row r="39" ht="15.75" customHeight="1">
      <c r="A39" s="19" t="s">
        <v>267</v>
      </c>
      <c r="B39" s="180" t="str">
        <f t="shared" si="1"/>
        <v>1</v>
      </c>
      <c r="C39" s="180" t="str">
        <f t="shared" si="2"/>
        <v>Blazemire Verge</v>
      </c>
      <c r="D39" s="180" t="str">
        <f t="shared" si="9"/>
        <v>Dominaria United Commander</v>
      </c>
      <c r="E39" s="180" t="str">
        <f t="shared" si="4"/>
        <v>DSK</v>
      </c>
      <c r="G39" s="16" t="s">
        <v>268</v>
      </c>
      <c r="H39" s="176"/>
      <c r="I39" s="177"/>
      <c r="J39" s="180" t="str">
        <f t="shared" si="5"/>
        <v>KTK</v>
      </c>
      <c r="K39" s="180" t="str">
        <f t="shared" si="6"/>
        <v>Khans of Tarkir</v>
      </c>
      <c r="M39" s="180" t="str">
        <f t="shared" si="7"/>
        <v>KTK = Khans of Tarkir</v>
      </c>
      <c r="N39" s="177"/>
    </row>
    <row r="40" ht="15.75" customHeight="1">
      <c r="A40" s="19" t="s">
        <v>269</v>
      </c>
      <c r="B40" s="180" t="str">
        <f t="shared" si="1"/>
        <v>1</v>
      </c>
      <c r="C40" s="180" t="str">
        <f t="shared" si="2"/>
        <v>Dollmaker's Shop // Porcelain Gallery</v>
      </c>
      <c r="D40" s="180" t="str">
        <f t="shared" si="9"/>
        <v>Dominaria United Commander</v>
      </c>
      <c r="E40" s="180" t="str">
        <f t="shared" si="4"/>
        <v>DSK</v>
      </c>
      <c r="G40" s="16" t="s">
        <v>270</v>
      </c>
      <c r="H40" s="176"/>
      <c r="I40" s="177"/>
      <c r="J40" s="180" t="str">
        <f t="shared" si="5"/>
        <v>LCC</v>
      </c>
      <c r="K40" s="180" t="str">
        <f t="shared" si="6"/>
        <v>The Lost Caverns of Ixalan Commander</v>
      </c>
      <c r="M40" s="180" t="str">
        <f t="shared" si="7"/>
        <v>LCC = The Lost Caverns of Ixalan Commander</v>
      </c>
      <c r="N40" s="177"/>
    </row>
    <row r="41" ht="15.75" customHeight="1">
      <c r="A41" s="19" t="s">
        <v>271</v>
      </c>
      <c r="B41" s="180" t="str">
        <f t="shared" si="1"/>
        <v>1</v>
      </c>
      <c r="C41" s="180" t="str">
        <f t="shared" si="2"/>
        <v>Doomsday Excruciator</v>
      </c>
      <c r="D41" s="180" t="str">
        <f t="shared" si="9"/>
        <v>Dominaria United Commander</v>
      </c>
      <c r="E41" s="180" t="str">
        <f t="shared" si="4"/>
        <v>DSK</v>
      </c>
      <c r="G41" s="16" t="s">
        <v>272</v>
      </c>
      <c r="H41" s="176"/>
      <c r="I41" s="177"/>
      <c r="J41" s="180" t="str">
        <f t="shared" si="5"/>
        <v>LGC</v>
      </c>
      <c r="K41" s="180" t="str">
        <f t="shared" si="6"/>
        <v>Legend of the Five Rings</v>
      </c>
      <c r="M41" s="180" t="str">
        <f t="shared" si="7"/>
        <v>LGC = Legend of the Five Rings</v>
      </c>
      <c r="N41" s="177"/>
    </row>
    <row r="42" ht="15.75" customHeight="1">
      <c r="A42" s="19" t="s">
        <v>273</v>
      </c>
      <c r="B42" s="180" t="str">
        <f t="shared" si="1"/>
        <v>1</v>
      </c>
      <c r="C42" s="180" t="str">
        <f t="shared" si="2"/>
        <v>Enduring Courage</v>
      </c>
      <c r="D42" s="180" t="str">
        <f t="shared" si="9"/>
        <v>Dominaria United Commander</v>
      </c>
      <c r="E42" s="180" t="str">
        <f t="shared" si="4"/>
        <v>DSK</v>
      </c>
      <c r="G42" s="16" t="s">
        <v>274</v>
      </c>
      <c r="H42" s="176"/>
      <c r="I42" s="177"/>
      <c r="J42" s="180" t="str">
        <f t="shared" si="5"/>
        <v>LOR</v>
      </c>
      <c r="K42" s="180" t="str">
        <f t="shared" si="6"/>
        <v>Lorwyn</v>
      </c>
      <c r="M42" s="180" t="str">
        <f t="shared" si="7"/>
        <v>LOR = Lorwyn</v>
      </c>
      <c r="N42" s="177"/>
    </row>
    <row r="43" ht="15.75" customHeight="1">
      <c r="A43" s="19" t="s">
        <v>275</v>
      </c>
      <c r="B43" s="180" t="str">
        <f t="shared" si="1"/>
        <v>2</v>
      </c>
      <c r="C43" s="180" t="str">
        <f t="shared" si="2"/>
        <v>Enduring Curiosity</v>
      </c>
      <c r="D43" s="180" t="str">
        <f t="shared" si="9"/>
        <v>Dominaria United Commander</v>
      </c>
      <c r="E43" s="180" t="str">
        <f t="shared" si="4"/>
        <v>DSK</v>
      </c>
      <c r="G43" s="19" t="s">
        <v>276</v>
      </c>
      <c r="H43" s="176"/>
      <c r="I43" s="177"/>
      <c r="J43" s="180" t="str">
        <f t="shared" si="5"/>
        <v>LTC</v>
      </c>
      <c r="K43" s="180" t="str">
        <f t="shared" si="6"/>
        <v>Tales of Middle-earth Commander</v>
      </c>
      <c r="M43" s="180" t="str">
        <f t="shared" si="7"/>
        <v>LTC = Tales of Middle-earth Commander</v>
      </c>
      <c r="N43" s="177"/>
    </row>
    <row r="44" ht="15.75" customHeight="1">
      <c r="A44" s="19" t="s">
        <v>277</v>
      </c>
      <c r="B44" s="180" t="str">
        <f t="shared" si="1"/>
        <v>1</v>
      </c>
      <c r="C44" s="180" t="str">
        <f t="shared" si="2"/>
        <v>Enduring Tenacity</v>
      </c>
      <c r="D44" s="180" t="str">
        <f t="shared" si="9"/>
        <v>Dominaria United Commander</v>
      </c>
      <c r="E44" s="180" t="str">
        <f t="shared" si="4"/>
        <v>DSK</v>
      </c>
      <c r="G44" s="16" t="s">
        <v>278</v>
      </c>
      <c r="H44" s="176"/>
      <c r="I44" s="177"/>
      <c r="J44" s="180" t="str">
        <f t="shared" si="5"/>
        <v>M10</v>
      </c>
      <c r="K44" s="180" t="str">
        <f t="shared" si="6"/>
        <v>Magic 2010</v>
      </c>
      <c r="M44" s="180" t="str">
        <f t="shared" si="7"/>
        <v>M10 = Magic 2010</v>
      </c>
      <c r="N44" s="177"/>
    </row>
    <row r="45" ht="15.75" customHeight="1">
      <c r="A45" s="19" t="s">
        <v>279</v>
      </c>
      <c r="B45" s="180" t="str">
        <f t="shared" si="1"/>
        <v>1</v>
      </c>
      <c r="C45" s="180" t="str">
        <f t="shared" si="2"/>
        <v>Enter the Enigma</v>
      </c>
      <c r="D45" s="180" t="str">
        <f t="shared" si="9"/>
        <v>Dominaria United Commander</v>
      </c>
      <c r="E45" s="180" t="str">
        <f t="shared" si="4"/>
        <v>DSK</v>
      </c>
      <c r="G45" s="16" t="s">
        <v>280</v>
      </c>
      <c r="H45" s="176"/>
      <c r="I45" s="177"/>
      <c r="J45" s="180" t="str">
        <f t="shared" si="5"/>
        <v>M11</v>
      </c>
      <c r="K45" s="180" t="str">
        <f t="shared" si="6"/>
        <v>Magic 2011</v>
      </c>
      <c r="M45" s="180" t="str">
        <f t="shared" si="7"/>
        <v>M11 = Magic 2011</v>
      </c>
      <c r="N45" s="177"/>
    </row>
    <row r="46" ht="15.75" customHeight="1">
      <c r="A46" s="19" t="s">
        <v>281</v>
      </c>
      <c r="B46" s="180" t="str">
        <f t="shared" si="1"/>
        <v>1</v>
      </c>
      <c r="C46" s="180" t="str">
        <f t="shared" si="2"/>
        <v>Floodfarm Verge</v>
      </c>
      <c r="D46" s="180" t="str">
        <f t="shared" si="9"/>
        <v>Dominaria United Commander</v>
      </c>
      <c r="E46" s="180" t="str">
        <f t="shared" si="4"/>
        <v>DSK</v>
      </c>
      <c r="G46" s="16" t="s">
        <v>282</v>
      </c>
      <c r="H46" s="176"/>
      <c r="I46" s="177"/>
      <c r="J46" s="180" t="str">
        <f t="shared" si="5"/>
        <v>M12</v>
      </c>
      <c r="K46" s="180" t="str">
        <f t="shared" si="6"/>
        <v>Magic 2012</v>
      </c>
      <c r="M46" s="180" t="str">
        <f t="shared" si="7"/>
        <v>M12 = Magic 2012</v>
      </c>
      <c r="N46" s="177"/>
    </row>
    <row r="47" ht="15.75" customHeight="1">
      <c r="A47" s="19" t="s">
        <v>283</v>
      </c>
      <c r="B47" s="180" t="str">
        <f t="shared" si="1"/>
        <v>1</v>
      </c>
      <c r="C47" s="180" t="str">
        <f t="shared" si="2"/>
        <v>Funeral Room // Awakening Hall</v>
      </c>
      <c r="D47" s="180" t="str">
        <f t="shared" si="9"/>
        <v>Dominaria United Commander</v>
      </c>
      <c r="E47" s="180" t="str">
        <f t="shared" si="4"/>
        <v>DSK</v>
      </c>
      <c r="G47" s="16" t="s">
        <v>284</v>
      </c>
      <c r="H47" s="176"/>
      <c r="I47" s="177"/>
      <c r="J47" s="180" t="str">
        <f t="shared" si="5"/>
        <v>M13</v>
      </c>
      <c r="K47" s="180" t="str">
        <f t="shared" si="6"/>
        <v>Magic 2013</v>
      </c>
      <c r="M47" s="180" t="str">
        <f t="shared" si="7"/>
        <v>M13 = Magic 2013</v>
      </c>
      <c r="N47" s="177"/>
    </row>
    <row r="48" ht="15.75" customHeight="1">
      <c r="A48" s="19" t="s">
        <v>285</v>
      </c>
      <c r="B48" s="180" t="str">
        <f t="shared" si="1"/>
        <v>1</v>
      </c>
      <c r="C48" s="180" t="str">
        <f t="shared" si="2"/>
        <v>Gloomlake Verge</v>
      </c>
      <c r="D48" s="180" t="str">
        <f t="shared" si="9"/>
        <v>Dominaria United Commander</v>
      </c>
      <c r="E48" s="180" t="str">
        <f t="shared" si="4"/>
        <v>DSK</v>
      </c>
      <c r="G48" s="16" t="s">
        <v>286</v>
      </c>
      <c r="H48" s="176"/>
      <c r="I48" s="177"/>
      <c r="J48" s="180" t="str">
        <f t="shared" si="5"/>
        <v>M14</v>
      </c>
      <c r="K48" s="180" t="str">
        <f t="shared" si="6"/>
        <v>Magic 2014</v>
      </c>
      <c r="M48" s="180" t="str">
        <f t="shared" si="7"/>
        <v>M14 = Magic 2014</v>
      </c>
      <c r="N48" s="177"/>
    </row>
    <row r="49" ht="15.75" customHeight="1">
      <c r="A49" s="19" t="s">
        <v>287</v>
      </c>
      <c r="B49" s="180" t="str">
        <f t="shared" si="1"/>
        <v>1</v>
      </c>
      <c r="C49" s="180" t="str">
        <f t="shared" si="2"/>
        <v>Grievous Wound</v>
      </c>
      <c r="D49" s="180" t="str">
        <f>if(A49="","",VLOOKUP(E49, J:K, 2, FALSE))</f>
        <v>Dominaria United Commander</v>
      </c>
      <c r="E49" s="180" t="str">
        <f t="shared" si="4"/>
        <v>DSK</v>
      </c>
      <c r="G49" s="16" t="s">
        <v>288</v>
      </c>
      <c r="H49" s="176"/>
      <c r="I49" s="177"/>
      <c r="J49" s="180" t="str">
        <f t="shared" si="5"/>
        <v>M15</v>
      </c>
      <c r="K49" s="180" t="str">
        <f t="shared" si="6"/>
        <v>Magic 2015</v>
      </c>
      <c r="M49" s="180" t="str">
        <f t="shared" si="7"/>
        <v>M15 = Magic 2015</v>
      </c>
      <c r="N49" s="177"/>
    </row>
    <row r="50" ht="15.75" customHeight="1">
      <c r="A50" s="19" t="s">
        <v>289</v>
      </c>
      <c r="B50" s="180" t="str">
        <f t="shared" si="1"/>
        <v>1</v>
      </c>
      <c r="C50" s="180" t="str">
        <f t="shared" si="2"/>
        <v>Hauntwoods Shrieker</v>
      </c>
      <c r="D50" s="180" t="str">
        <f t="shared" ref="D50:D51" si="10">if(A50="","",VLOOKUP(E50, $J:$K, 2, FALSE))</f>
        <v>Dominaria United Commander</v>
      </c>
      <c r="E50" s="180" t="str">
        <f t="shared" si="4"/>
        <v>DSK</v>
      </c>
      <c r="G50" s="16" t="s">
        <v>290</v>
      </c>
      <c r="H50" s="176"/>
      <c r="I50" s="177"/>
      <c r="J50" s="180" t="str">
        <f t="shared" si="5"/>
        <v>M19</v>
      </c>
      <c r="K50" s="180" t="str">
        <f t="shared" si="6"/>
        <v>Core Set 2019</v>
      </c>
      <c r="M50" s="180" t="str">
        <f t="shared" si="7"/>
        <v>M19 = Core Set 2019</v>
      </c>
      <c r="N50" s="177"/>
    </row>
    <row r="51" ht="15.75" customHeight="1">
      <c r="A51" s="19" t="s">
        <v>291</v>
      </c>
      <c r="B51" s="180" t="str">
        <f t="shared" si="1"/>
        <v>1</v>
      </c>
      <c r="C51" s="180" t="str">
        <f t="shared" si="2"/>
        <v>Kona, Rescue Beastie</v>
      </c>
      <c r="D51" s="180" t="str">
        <f t="shared" si="10"/>
        <v>Dominaria United Commander</v>
      </c>
      <c r="E51" s="180" t="str">
        <f t="shared" si="4"/>
        <v>DSK</v>
      </c>
      <c r="G51" s="16" t="s">
        <v>292</v>
      </c>
      <c r="H51" s="176"/>
      <c r="I51" s="177"/>
      <c r="J51" s="180" t="str">
        <f t="shared" si="5"/>
        <v>M20</v>
      </c>
      <c r="K51" s="180" t="str">
        <f t="shared" si="6"/>
        <v>Core Set 2020</v>
      </c>
      <c r="M51" s="180" t="str">
        <f t="shared" si="7"/>
        <v>M20 = Core Set 2020</v>
      </c>
      <c r="N51" s="177"/>
    </row>
    <row r="52" ht="15.75" customHeight="1">
      <c r="A52" s="19" t="s">
        <v>293</v>
      </c>
      <c r="B52" s="180" t="str">
        <f t="shared" si="1"/>
        <v>1</v>
      </c>
      <c r="C52" s="180" t="str">
        <f t="shared" si="2"/>
        <v>Leyline of Resonance</v>
      </c>
      <c r="D52" s="180" t="str">
        <f>if(A52="","",VLOOKUP(E52, J:K, 2, FALSE))</f>
        <v>Dominaria United Commander</v>
      </c>
      <c r="E52" s="180" t="str">
        <f t="shared" si="4"/>
        <v>DSK</v>
      </c>
      <c r="G52" s="16" t="s">
        <v>294</v>
      </c>
      <c r="H52" s="176"/>
      <c r="I52" s="177"/>
      <c r="J52" s="180" t="str">
        <f t="shared" si="5"/>
        <v>M21</v>
      </c>
      <c r="K52" s="180" t="str">
        <f t="shared" si="6"/>
        <v>Core Set 2021</v>
      </c>
      <c r="M52" s="180" t="str">
        <f t="shared" si="7"/>
        <v>M21 = Core Set 2021</v>
      </c>
      <c r="N52" s="177"/>
    </row>
    <row r="53" ht="15.75" customHeight="1">
      <c r="A53" s="19" t="s">
        <v>295</v>
      </c>
      <c r="B53" s="180" t="str">
        <f t="shared" si="1"/>
        <v>1</v>
      </c>
      <c r="C53" s="180" t="str">
        <f t="shared" si="2"/>
        <v>Meathook Massacre II</v>
      </c>
      <c r="D53" s="180" t="str">
        <f t="shared" ref="D53:D54" si="11">if(A53="","",VLOOKUP(E53, $J:$K, 2, FALSE))</f>
        <v>Dominaria United Commander</v>
      </c>
      <c r="E53" s="180" t="str">
        <f t="shared" si="4"/>
        <v>DSK</v>
      </c>
      <c r="G53" s="16" t="s">
        <v>296</v>
      </c>
      <c r="H53" s="176"/>
      <c r="I53" s="177"/>
      <c r="J53" s="180" t="str">
        <f t="shared" si="5"/>
        <v>m3c</v>
      </c>
      <c r="K53" s="180" t="str">
        <f t="shared" si="6"/>
        <v>Modern Horizons 3 Commander</v>
      </c>
      <c r="M53" s="180" t="str">
        <f t="shared" si="7"/>
        <v>m3c = Modern Horizons 3 Commander</v>
      </c>
      <c r="N53" s="177"/>
    </row>
    <row r="54" ht="15.75" customHeight="1">
      <c r="A54" s="19" t="s">
        <v>297</v>
      </c>
      <c r="B54" s="180" t="str">
        <f t="shared" si="1"/>
        <v>1</v>
      </c>
      <c r="C54" s="180" t="str">
        <f t="shared" si="2"/>
        <v>Nowhere to Run</v>
      </c>
      <c r="D54" s="180" t="str">
        <f t="shared" si="11"/>
        <v>Dominaria United Commander</v>
      </c>
      <c r="E54" s="180" t="str">
        <f t="shared" si="4"/>
        <v>DSK</v>
      </c>
      <c r="G54" s="16" t="s">
        <v>298</v>
      </c>
      <c r="H54" s="176"/>
      <c r="I54" s="177"/>
      <c r="J54" s="180" t="str">
        <f t="shared" si="5"/>
        <v>MH1</v>
      </c>
      <c r="K54" s="180" t="str">
        <f t="shared" si="6"/>
        <v>Modern Horizons</v>
      </c>
      <c r="M54" s="180" t="str">
        <f t="shared" si="7"/>
        <v>MH1 = Modern Horizons</v>
      </c>
      <c r="N54" s="177"/>
    </row>
    <row r="55" ht="15.75" customHeight="1">
      <c r="A55" s="19" t="s">
        <v>299</v>
      </c>
      <c r="B55" s="180" t="str">
        <f t="shared" si="1"/>
        <v>1</v>
      </c>
      <c r="C55" s="180" t="str">
        <f t="shared" si="2"/>
        <v>Peer Past the Veil</v>
      </c>
      <c r="D55" s="180" t="str">
        <f>if(A55="","",VLOOKUP(E55, J:K, 2, FALSE))</f>
        <v>Dominaria United Commander</v>
      </c>
      <c r="E55" s="180" t="str">
        <f t="shared" si="4"/>
        <v>DSK</v>
      </c>
      <c r="G55" s="16" t="s">
        <v>300</v>
      </c>
      <c r="H55" s="176"/>
      <c r="I55" s="177"/>
      <c r="J55" s="180" t="str">
        <f t="shared" si="5"/>
        <v>MH2</v>
      </c>
      <c r="K55" s="180" t="str">
        <f t="shared" si="6"/>
        <v>Modern Horizons 2</v>
      </c>
      <c r="M55" s="180" t="str">
        <f t="shared" si="7"/>
        <v>MH2 = Modern Horizons 2</v>
      </c>
      <c r="N55" s="177"/>
    </row>
    <row r="56" ht="15.75" customHeight="1">
      <c r="A56" s="19" t="s">
        <v>301</v>
      </c>
      <c r="B56" s="180" t="str">
        <f t="shared" si="1"/>
        <v>1</v>
      </c>
      <c r="C56" s="180" t="str">
        <f t="shared" si="2"/>
        <v>Razorkin Needlehead</v>
      </c>
      <c r="D56" s="180" t="str">
        <f t="shared" ref="D56:D62" si="12">if(A56="","",VLOOKUP(E56, $J:$K, 2, FALSE))</f>
        <v>Dominaria United Commander</v>
      </c>
      <c r="E56" s="180" t="str">
        <f t="shared" si="4"/>
        <v>DSK</v>
      </c>
      <c r="G56" s="16" t="s">
        <v>302</v>
      </c>
      <c r="H56" s="176"/>
      <c r="I56" s="177"/>
      <c r="J56" s="180" t="str">
        <f t="shared" si="5"/>
        <v>MH3</v>
      </c>
      <c r="K56" s="180" t="str">
        <f t="shared" si="6"/>
        <v>Modern Horizons 3</v>
      </c>
      <c r="M56" s="180" t="str">
        <f t="shared" si="7"/>
        <v>MH3 = Modern Horizons 3</v>
      </c>
      <c r="N56" s="177"/>
    </row>
    <row r="57" ht="15.75" customHeight="1">
      <c r="A57" s="19" t="s">
        <v>303</v>
      </c>
      <c r="B57" s="180" t="str">
        <f t="shared" si="1"/>
        <v>1</v>
      </c>
      <c r="C57" s="180" t="str">
        <f t="shared" si="2"/>
        <v>Restricted Office // Lecture Hall</v>
      </c>
      <c r="D57" s="180" t="str">
        <f t="shared" si="12"/>
        <v>Dominaria United Commander</v>
      </c>
      <c r="E57" s="180" t="str">
        <f t="shared" si="4"/>
        <v>DSK</v>
      </c>
      <c r="G57" s="16" t="s">
        <v>304</v>
      </c>
      <c r="H57" s="176"/>
      <c r="I57" s="177"/>
      <c r="J57" s="180" t="str">
        <f t="shared" si="5"/>
        <v>MIR</v>
      </c>
      <c r="K57" s="180" t="str">
        <f t="shared" si="6"/>
        <v>Mirrodin</v>
      </c>
      <c r="M57" s="180" t="str">
        <f t="shared" si="7"/>
        <v>MIR = Mirrodin</v>
      </c>
      <c r="N57" s="177"/>
    </row>
    <row r="58" ht="15.75" customHeight="1">
      <c r="A58" s="19" t="s">
        <v>305</v>
      </c>
      <c r="B58" s="180" t="str">
        <f t="shared" si="1"/>
        <v>1</v>
      </c>
      <c r="C58" s="180" t="str">
        <f t="shared" si="2"/>
        <v>Screaming Nemesis</v>
      </c>
      <c r="D58" s="180" t="str">
        <f t="shared" si="12"/>
        <v>Dominaria United Commander</v>
      </c>
      <c r="E58" s="180" t="str">
        <f t="shared" si="4"/>
        <v>DSK</v>
      </c>
      <c r="G58" s="16" t="s">
        <v>306</v>
      </c>
      <c r="H58" s="176"/>
      <c r="I58" s="177"/>
      <c r="J58" s="180" t="str">
        <f t="shared" si="5"/>
        <v>MKC</v>
      </c>
      <c r="K58" s="180" t="str">
        <f t="shared" si="6"/>
        <v>March of the Machine Commander</v>
      </c>
      <c r="M58" s="180" t="str">
        <f t="shared" si="7"/>
        <v>MKC = March of the Machine Commander</v>
      </c>
      <c r="N58" s="177"/>
    </row>
    <row r="59" ht="15.75" customHeight="1">
      <c r="A59" s="19" t="s">
        <v>307</v>
      </c>
      <c r="B59" s="180" t="str">
        <f t="shared" si="1"/>
        <v>1</v>
      </c>
      <c r="C59" s="180" t="str">
        <f t="shared" si="2"/>
        <v>Split Up</v>
      </c>
      <c r="D59" s="180" t="str">
        <f t="shared" si="12"/>
        <v>Dominaria United Commander</v>
      </c>
      <c r="E59" s="180" t="str">
        <f t="shared" si="4"/>
        <v>DSK</v>
      </c>
      <c r="G59" s="16" t="s">
        <v>308</v>
      </c>
      <c r="H59" s="176"/>
      <c r="I59" s="177"/>
      <c r="J59" s="180" t="str">
        <f t="shared" si="5"/>
        <v>MKM</v>
      </c>
      <c r="K59" s="180" t="str">
        <f t="shared" si="6"/>
        <v>Midnight Hunt Commander</v>
      </c>
      <c r="M59" s="180" t="str">
        <f t="shared" si="7"/>
        <v>MKM = Midnight Hunt Commander</v>
      </c>
      <c r="N59" s="177"/>
    </row>
    <row r="60" ht="15.75" customHeight="1">
      <c r="A60" s="19" t="s">
        <v>309</v>
      </c>
      <c r="B60" s="180" t="str">
        <f t="shared" si="1"/>
        <v>1</v>
      </c>
      <c r="C60" s="180" t="str">
        <f t="shared" si="2"/>
        <v>The Mindskinner</v>
      </c>
      <c r="D60" s="180" t="str">
        <f t="shared" si="12"/>
        <v>Dominaria United Commander</v>
      </c>
      <c r="E60" s="180" t="str">
        <f t="shared" si="4"/>
        <v>DSK</v>
      </c>
      <c r="G60" s="16" t="s">
        <v>310</v>
      </c>
      <c r="H60" s="176"/>
      <c r="I60" s="177"/>
      <c r="J60" s="180" t="str">
        <f t="shared" si="5"/>
        <v>MM1</v>
      </c>
      <c r="K60" s="180" t="str">
        <f t="shared" si="6"/>
        <v>Modern Masters 1</v>
      </c>
      <c r="M60" s="180" t="str">
        <f t="shared" si="7"/>
        <v>MM1 = Modern Masters 1</v>
      </c>
      <c r="N60" s="177"/>
    </row>
    <row r="61" ht="15.75" customHeight="1">
      <c r="A61" s="19" t="s">
        <v>311</v>
      </c>
      <c r="B61" s="180" t="str">
        <f t="shared" si="1"/>
        <v>1</v>
      </c>
      <c r="C61" s="180" t="str">
        <f t="shared" si="2"/>
        <v>The Rollercrusher Ride</v>
      </c>
      <c r="D61" s="180" t="str">
        <f t="shared" si="12"/>
        <v>Dominaria United Commander</v>
      </c>
      <c r="E61" s="180" t="str">
        <f t="shared" si="4"/>
        <v>DSK</v>
      </c>
      <c r="G61" s="16" t="s">
        <v>312</v>
      </c>
      <c r="H61" s="176"/>
      <c r="I61" s="177"/>
      <c r="J61" s="180" t="str">
        <f t="shared" si="5"/>
        <v>MM2</v>
      </c>
      <c r="K61" s="180" t="str">
        <f t="shared" si="6"/>
        <v>Modern Masters 2</v>
      </c>
      <c r="M61" s="180" t="str">
        <f t="shared" si="7"/>
        <v>MM2 = Modern Masters 2</v>
      </c>
      <c r="N61" s="177"/>
    </row>
    <row r="62" ht="15.75" customHeight="1">
      <c r="A62" s="19" t="s">
        <v>313</v>
      </c>
      <c r="B62" s="180" t="str">
        <f t="shared" si="1"/>
        <v>2</v>
      </c>
      <c r="C62" s="180" t="str">
        <f t="shared" si="2"/>
        <v>Thornspire Verge</v>
      </c>
      <c r="D62" s="180" t="str">
        <f t="shared" si="12"/>
        <v>Dominaria United Commander</v>
      </c>
      <c r="E62" s="180" t="str">
        <f t="shared" si="4"/>
        <v>DSK</v>
      </c>
      <c r="G62" s="16" t="s">
        <v>314</v>
      </c>
      <c r="H62" s="176"/>
      <c r="I62" s="177"/>
      <c r="J62" s="180" t="str">
        <f t="shared" si="5"/>
        <v>MM3</v>
      </c>
      <c r="K62" s="180" t="str">
        <f t="shared" si="6"/>
        <v>Modern Masters 3</v>
      </c>
      <c r="M62" s="180" t="str">
        <f t="shared" si="7"/>
        <v>MM3 = Modern Masters 3</v>
      </c>
      <c r="N62" s="177"/>
    </row>
    <row r="63" ht="15.75" customHeight="1">
      <c r="A63" s="19" t="s">
        <v>315</v>
      </c>
      <c r="B63" s="180" t="str">
        <f t="shared" si="1"/>
        <v>1</v>
      </c>
      <c r="C63" s="180" t="str">
        <f t="shared" si="2"/>
        <v>Undead Sprinter</v>
      </c>
      <c r="D63" s="180" t="str">
        <f>if(A63="","",VLOOKUP(E63, J:K, 2, FALSE))</f>
        <v>Dominaria United Commander</v>
      </c>
      <c r="E63" s="180" t="str">
        <f t="shared" si="4"/>
        <v>DSK</v>
      </c>
      <c r="G63" s="16" t="s">
        <v>316</v>
      </c>
      <c r="H63" s="176"/>
      <c r="I63" s="177"/>
      <c r="J63" s="180" t="str">
        <f t="shared" si="5"/>
        <v>MMA</v>
      </c>
      <c r="K63" s="180" t="str">
        <f t="shared" si="6"/>
        <v>Modern Masters Anthology</v>
      </c>
      <c r="M63" s="180" t="str">
        <f t="shared" si="7"/>
        <v>MMA = Modern Masters Anthology</v>
      </c>
      <c r="N63" s="177"/>
    </row>
    <row r="64" ht="15.75" customHeight="1">
      <c r="A64" s="19" t="s">
        <v>317</v>
      </c>
      <c r="B64" s="180" t="str">
        <f t="shared" si="1"/>
        <v>1</v>
      </c>
      <c r="C64" s="180" t="str">
        <f t="shared" si="2"/>
        <v>Unstoppable Slasher</v>
      </c>
      <c r="D64" s="180" t="str">
        <f t="shared" ref="D64:D162" si="13">if(A64="","",VLOOKUP(E64, $J:$K, 2, FALSE))</f>
        <v>Dominaria United Commander</v>
      </c>
      <c r="E64" s="180" t="str">
        <f t="shared" si="4"/>
        <v>DSK</v>
      </c>
      <c r="G64" s="16" t="s">
        <v>318</v>
      </c>
      <c r="H64" s="176"/>
      <c r="I64" s="177"/>
      <c r="J64" s="180" t="str">
        <f t="shared" si="5"/>
        <v>NCC</v>
      </c>
      <c r="K64" s="180" t="str">
        <f t="shared" si="6"/>
        <v>New Capenna Commander</v>
      </c>
      <c r="M64" s="180" t="str">
        <f t="shared" si="7"/>
        <v>NCC = New Capenna Commander</v>
      </c>
      <c r="N64" s="177"/>
    </row>
    <row r="65" ht="15.75" customHeight="1">
      <c r="A65" s="19" t="s">
        <v>319</v>
      </c>
      <c r="B65" s="180" t="str">
        <f t="shared" si="1"/>
        <v>2</v>
      </c>
      <c r="C65" s="180" t="str">
        <f t="shared" si="2"/>
        <v>Walk-In Closet // Forgotten Cellar</v>
      </c>
      <c r="D65" s="180" t="str">
        <f t="shared" si="13"/>
        <v>Dominaria United Commander</v>
      </c>
      <c r="E65" s="180" t="str">
        <f t="shared" si="4"/>
        <v>DSK</v>
      </c>
      <c r="G65" s="16" t="s">
        <v>320</v>
      </c>
      <c r="H65" s="176"/>
      <c r="I65" s="177"/>
      <c r="J65" s="180" t="str">
        <f t="shared" si="5"/>
        <v>NMS</v>
      </c>
      <c r="K65" s="180" t="str">
        <f t="shared" si="6"/>
        <v>Scars of Mirrodin</v>
      </c>
      <c r="M65" s="180" t="str">
        <f t="shared" si="7"/>
        <v>NMS = Scars of Mirrodin</v>
      </c>
      <c r="N65" s="177"/>
    </row>
    <row r="66" ht="15.75" customHeight="1">
      <c r="A66" s="19" t="s">
        <v>321</v>
      </c>
      <c r="B66" s="180" t="str">
        <f t="shared" si="1"/>
        <v>3</v>
      </c>
      <c r="C66" s="180" t="str">
        <f t="shared" si="2"/>
        <v>Withering Torment</v>
      </c>
      <c r="D66" s="180" t="str">
        <f t="shared" si="13"/>
        <v>Dominaria United Commander</v>
      </c>
      <c r="E66" s="180" t="str">
        <f t="shared" si="4"/>
        <v>DSK</v>
      </c>
      <c r="G66" s="16" t="s">
        <v>322</v>
      </c>
      <c r="H66" s="176"/>
      <c r="I66" s="177"/>
      <c r="J66" s="180" t="str">
        <f t="shared" si="5"/>
        <v>NPH</v>
      </c>
      <c r="K66" s="180" t="str">
        <f t="shared" si="6"/>
        <v>New Phyrexia</v>
      </c>
      <c r="M66" s="180" t="str">
        <f t="shared" si="7"/>
        <v>NPH = New Phyrexia</v>
      </c>
      <c r="N66" s="177"/>
    </row>
    <row r="67" ht="15.75" customHeight="1">
      <c r="A67" s="19" t="s">
        <v>323</v>
      </c>
      <c r="B67" s="180" t="str">
        <f t="shared" si="1"/>
        <v>2</v>
      </c>
      <c r="C67" s="180" t="str">
        <f t="shared" si="2"/>
        <v>Gleeful Arsonist</v>
      </c>
      <c r="D67" s="180" t="str">
        <f t="shared" si="13"/>
        <v>Duskmourn: House of Horror Commander</v>
      </c>
      <c r="E67" s="180" t="str">
        <f t="shared" si="4"/>
        <v>DSC</v>
      </c>
      <c r="G67" s="16" t="s">
        <v>324</v>
      </c>
      <c r="H67" s="176"/>
      <c r="I67" s="177"/>
      <c r="J67" s="180" t="str">
        <f t="shared" si="5"/>
        <v>OGW</v>
      </c>
      <c r="K67" s="180" t="str">
        <f t="shared" si="6"/>
        <v>Oath of the Gatewatch</v>
      </c>
      <c r="M67" s="180" t="str">
        <f t="shared" si="7"/>
        <v>OGW = Oath of the Gatewatch</v>
      </c>
      <c r="N67" s="177"/>
    </row>
    <row r="68" ht="15.75" customHeight="1">
      <c r="A68" s="19" t="s">
        <v>325</v>
      </c>
      <c r="B68" s="180" t="str">
        <f t="shared" si="1"/>
        <v>2</v>
      </c>
      <c r="C68" s="180" t="str">
        <f t="shared" si="2"/>
        <v>Into the Pit</v>
      </c>
      <c r="D68" s="180" t="str">
        <f t="shared" si="13"/>
        <v>Duskmourn: House of Horror Commander</v>
      </c>
      <c r="E68" s="180" t="str">
        <f t="shared" si="4"/>
        <v>DSC</v>
      </c>
      <c r="G68" s="16" t="s">
        <v>326</v>
      </c>
      <c r="H68" s="176"/>
      <c r="I68" s="177"/>
      <c r="J68" s="180" t="str">
        <f t="shared" si="5"/>
        <v>ORI</v>
      </c>
      <c r="K68" s="180" t="str">
        <f t="shared" si="6"/>
        <v>Magic Origins</v>
      </c>
      <c r="M68" s="180" t="str">
        <f t="shared" si="7"/>
        <v>ORI = Magic Origins</v>
      </c>
      <c r="N68" s="177"/>
    </row>
    <row r="69" ht="15.75" customHeight="1">
      <c r="A69" s="19" t="s">
        <v>327</v>
      </c>
      <c r="B69" s="180" t="str">
        <f t="shared" si="1"/>
        <v>1</v>
      </c>
      <c r="C69" s="180" t="str">
        <f t="shared" si="2"/>
        <v>Valgavoth, Harrower of Souls</v>
      </c>
      <c r="D69" s="180" t="str">
        <f t="shared" si="13"/>
        <v>Duskmourn: House of Horror Commander</v>
      </c>
      <c r="E69" s="180" t="str">
        <f t="shared" si="4"/>
        <v>DSC</v>
      </c>
      <c r="G69" s="19" t="s">
        <v>328</v>
      </c>
      <c r="H69" s="176"/>
      <c r="I69" s="177"/>
      <c r="J69" s="180" t="str">
        <f t="shared" si="5"/>
        <v>OTC</v>
      </c>
      <c r="K69" s="180" t="str">
        <f t="shared" si="6"/>
        <v>Outlaws of Thunder Junction Commander</v>
      </c>
      <c r="M69" s="180" t="str">
        <f t="shared" si="7"/>
        <v>OTC = Outlaws of Thunder Junction Commander</v>
      </c>
      <c r="N69" s="177"/>
    </row>
    <row r="70" ht="15.75" customHeight="1">
      <c r="A70" s="19" t="s">
        <v>329</v>
      </c>
      <c r="B70" s="180" t="str">
        <f t="shared" si="1"/>
        <v>1</v>
      </c>
      <c r="C70" s="180" t="str">
        <f t="shared" si="2"/>
        <v>Bottle-Cap Blast</v>
      </c>
      <c r="D70" s="180" t="str">
        <f t="shared" si="13"/>
        <v>Fallout</v>
      </c>
      <c r="E70" s="180" t="str">
        <f t="shared" si="4"/>
        <v>PIP</v>
      </c>
      <c r="G70" s="19" t="s">
        <v>330</v>
      </c>
      <c r="H70" s="176"/>
      <c r="I70" s="177"/>
      <c r="J70" s="180" t="str">
        <f t="shared" si="5"/>
        <v>OTJ</v>
      </c>
      <c r="K70" s="180" t="str">
        <f t="shared" si="6"/>
        <v>Outlaws of Thunder Junction</v>
      </c>
      <c r="M70" s="180" t="str">
        <f t="shared" si="7"/>
        <v>OTJ = Outlaws of Thunder Junction</v>
      </c>
      <c r="N70" s="177"/>
    </row>
    <row r="71" ht="15.75" customHeight="1">
      <c r="A71" s="19" t="s">
        <v>331</v>
      </c>
      <c r="B71" s="180" t="str">
        <f t="shared" si="1"/>
        <v>1</v>
      </c>
      <c r="C71" s="180" t="str">
        <f t="shared" si="2"/>
        <v>MacCready, Lamplight Mayor</v>
      </c>
      <c r="D71" s="180" t="str">
        <f t="shared" si="13"/>
        <v>Fallout</v>
      </c>
      <c r="E71" s="180" t="str">
        <f t="shared" si="4"/>
        <v>PIP</v>
      </c>
      <c r="G71" s="16" t="s">
        <v>332</v>
      </c>
      <c r="H71" s="176"/>
      <c r="I71" s="177"/>
      <c r="J71" s="180" t="str">
        <f t="shared" si="5"/>
        <v>PCA</v>
      </c>
      <c r="K71" s="180" t="str">
        <f t="shared" si="6"/>
        <v>Planeswalker Deck</v>
      </c>
      <c r="M71" s="180" t="str">
        <f t="shared" si="7"/>
        <v>PCA = Planeswalker Deck</v>
      </c>
      <c r="N71" s="177"/>
    </row>
    <row r="72" ht="15.75" customHeight="1">
      <c r="A72" s="19" t="s">
        <v>333</v>
      </c>
      <c r="B72" s="180" t="str">
        <f t="shared" si="1"/>
        <v>1</v>
      </c>
      <c r="C72" s="180" t="str">
        <f t="shared" si="2"/>
        <v>Pip-Boy 3000</v>
      </c>
      <c r="D72" s="180" t="str">
        <f t="shared" si="13"/>
        <v>Fallout</v>
      </c>
      <c r="E72" s="180" t="str">
        <f t="shared" si="4"/>
        <v>PIP</v>
      </c>
      <c r="H72" s="176"/>
      <c r="I72" s="177"/>
      <c r="J72" s="180" t="str">
        <f t="shared" si="5"/>
        <v/>
      </c>
      <c r="K72" s="180" t="str">
        <f t="shared" si="6"/>
        <v/>
      </c>
      <c r="M72" s="180" t="str">
        <f t="shared" si="7"/>
        <v/>
      </c>
      <c r="N72" s="177"/>
    </row>
    <row r="73" ht="15.75" customHeight="1">
      <c r="A73" s="19" t="s">
        <v>334</v>
      </c>
      <c r="B73" s="180" t="str">
        <f t="shared" si="1"/>
        <v>1</v>
      </c>
      <c r="C73" s="180" t="str">
        <f t="shared" si="2"/>
        <v>Pre-War Formalwear</v>
      </c>
      <c r="D73" s="180" t="str">
        <f t="shared" si="13"/>
        <v>Fallout</v>
      </c>
      <c r="E73" s="180" t="str">
        <f t="shared" si="4"/>
        <v>PIP</v>
      </c>
      <c r="G73" s="16" t="s">
        <v>335</v>
      </c>
      <c r="H73" s="176"/>
      <c r="I73" s="177"/>
      <c r="J73" s="180" t="str">
        <f t="shared" si="5"/>
        <v>PRM</v>
      </c>
      <c r="K73" s="180" t="str">
        <f t="shared" si="6"/>
        <v>Premium Deck Series</v>
      </c>
      <c r="M73" s="180" t="str">
        <f t="shared" si="7"/>
        <v>PRM = Premium Deck Series</v>
      </c>
      <c r="N73" s="177"/>
    </row>
    <row r="74" ht="15.75" customHeight="1">
      <c r="A74" s="19" t="s">
        <v>336</v>
      </c>
      <c r="B74" s="180" t="str">
        <f t="shared" si="1"/>
        <v>1</v>
      </c>
      <c r="C74" s="180" t="str">
        <f t="shared" si="2"/>
        <v>Blazing Volley</v>
      </c>
      <c r="D74" s="180" t="str">
        <f t="shared" si="13"/>
        <v>Ikoria: Lair of Behemoths</v>
      </c>
      <c r="E74" s="180" t="str">
        <f t="shared" si="4"/>
        <v>IKO</v>
      </c>
      <c r="G74" s="16" t="s">
        <v>337</v>
      </c>
      <c r="H74" s="176"/>
      <c r="I74" s="177"/>
      <c r="J74" s="180" t="str">
        <f t="shared" si="5"/>
        <v>RAV</v>
      </c>
      <c r="K74" s="180" t="str">
        <f t="shared" si="6"/>
        <v>Ravnica: City of Guilds</v>
      </c>
      <c r="M74" s="180" t="str">
        <f t="shared" si="7"/>
        <v>RAV = Ravnica: City of Guilds</v>
      </c>
      <c r="N74" s="177"/>
    </row>
    <row r="75" ht="15.75" customHeight="1">
      <c r="A75" s="19" t="s">
        <v>338</v>
      </c>
      <c r="B75" s="180" t="str">
        <f t="shared" si="1"/>
        <v>1</v>
      </c>
      <c r="C75" s="180" t="str">
        <f t="shared" si="2"/>
        <v>Winged Portent</v>
      </c>
      <c r="D75" s="180" t="str">
        <f t="shared" si="13"/>
        <v>Innistrad: Crimson Vow</v>
      </c>
      <c r="E75" s="180" t="str">
        <f t="shared" si="4"/>
        <v>VOW</v>
      </c>
      <c r="G75" s="16" t="s">
        <v>339</v>
      </c>
      <c r="H75" s="176"/>
      <c r="I75" s="177"/>
      <c r="J75" s="180" t="str">
        <f t="shared" si="5"/>
        <v>REX</v>
      </c>
      <c r="K75" s="180" t="str">
        <f t="shared" si="6"/>
        <v>Jurassic World Collection</v>
      </c>
      <c r="M75" s="180" t="str">
        <f t="shared" si="7"/>
        <v>REX = Jurassic World Collection</v>
      </c>
      <c r="N75" s="177"/>
    </row>
    <row r="76" ht="15.75" customHeight="1">
      <c r="A76" s="19" t="s">
        <v>340</v>
      </c>
      <c r="B76" s="180" t="str">
        <f t="shared" si="1"/>
        <v>1</v>
      </c>
      <c r="C76" s="180" t="str">
        <f t="shared" si="2"/>
        <v>Permission Denied</v>
      </c>
      <c r="D76" s="180" t="str">
        <f t="shared" si="13"/>
        <v>Jurassic World Collection</v>
      </c>
      <c r="E76" s="180" t="str">
        <f t="shared" si="4"/>
        <v>REX</v>
      </c>
      <c r="G76" s="16" t="s">
        <v>341</v>
      </c>
      <c r="H76" s="176"/>
      <c r="I76" s="177"/>
      <c r="J76" s="180" t="str">
        <f t="shared" si="5"/>
        <v>RIX</v>
      </c>
      <c r="K76" s="180" t="str">
        <f t="shared" si="6"/>
        <v>Rivals of Ixalan</v>
      </c>
      <c r="M76" s="180" t="str">
        <f t="shared" si="7"/>
        <v>RIX = Rivals of Ixalan</v>
      </c>
      <c r="N76" s="177"/>
    </row>
    <row r="77" ht="15.75" customHeight="1">
      <c r="A77" s="19" t="s">
        <v>342</v>
      </c>
      <c r="B77" s="180" t="str">
        <f t="shared" si="1"/>
        <v>2</v>
      </c>
      <c r="C77" s="180" t="str">
        <f t="shared" si="2"/>
        <v>Jeska's Will</v>
      </c>
      <c r="D77" s="180" t="str">
        <f t="shared" si="13"/>
        <v>March of the Machine Commander</v>
      </c>
      <c r="E77" s="180" t="str">
        <f t="shared" si="4"/>
        <v>MKC</v>
      </c>
      <c r="G77" s="16" t="s">
        <v>343</v>
      </c>
      <c r="H77" s="176"/>
      <c r="I77" s="177"/>
      <c r="J77" s="180" t="str">
        <f t="shared" si="5"/>
        <v>RNA</v>
      </c>
      <c r="K77" s="180" t="str">
        <f t="shared" si="6"/>
        <v>Ravnica Allegiance</v>
      </c>
      <c r="M77" s="180" t="str">
        <f t="shared" si="7"/>
        <v>RNA = Ravnica Allegiance</v>
      </c>
      <c r="N77" s="177"/>
    </row>
    <row r="78" ht="15.75" customHeight="1">
      <c r="A78" s="19" t="s">
        <v>344</v>
      </c>
      <c r="B78" s="180" t="str">
        <f t="shared" si="1"/>
        <v>1</v>
      </c>
      <c r="C78" s="180" t="str">
        <f t="shared" si="2"/>
        <v>Prisoner's Dilemma</v>
      </c>
      <c r="D78" s="180" t="str">
        <f t="shared" si="13"/>
        <v>March of the Machine Commander</v>
      </c>
      <c r="E78" s="180" t="str">
        <f t="shared" si="4"/>
        <v>MKC</v>
      </c>
      <c r="G78" s="16" t="s">
        <v>345</v>
      </c>
      <c r="H78" s="176"/>
      <c r="I78" s="177"/>
      <c r="J78" s="180" t="str">
        <f t="shared" si="5"/>
        <v>SOI</v>
      </c>
      <c r="K78" s="180" t="str">
        <f t="shared" si="6"/>
        <v>Shadows over Innistrad</v>
      </c>
      <c r="M78" s="180" t="str">
        <f t="shared" si="7"/>
        <v>SOI = Shadows over Innistrad</v>
      </c>
      <c r="N78" s="177"/>
    </row>
    <row r="79" ht="15.75" customHeight="1">
      <c r="A79" s="19" t="s">
        <v>346</v>
      </c>
      <c r="B79" s="180" t="str">
        <f t="shared" si="1"/>
        <v>3</v>
      </c>
      <c r="C79" s="180" t="str">
        <f t="shared" si="2"/>
        <v>Trouble in Pairs</v>
      </c>
      <c r="D79" s="180" t="str">
        <f t="shared" si="13"/>
        <v>March of the Machine Commander</v>
      </c>
      <c r="E79" s="180" t="str">
        <f t="shared" si="4"/>
        <v>MKC</v>
      </c>
      <c r="G79" s="16" t="s">
        <v>347</v>
      </c>
      <c r="H79" s="176"/>
      <c r="I79" s="177"/>
      <c r="J79" s="180" t="str">
        <f t="shared" si="5"/>
        <v>SOM</v>
      </c>
      <c r="K79" s="180" t="str">
        <f t="shared" si="6"/>
        <v>Scars of Mirrodin</v>
      </c>
      <c r="M79" s="180" t="str">
        <f t="shared" si="7"/>
        <v>SOM = Scars of Mirrodin</v>
      </c>
      <c r="N79" s="177"/>
    </row>
    <row r="80" ht="15.75" customHeight="1">
      <c r="A80" s="19" t="s">
        <v>348</v>
      </c>
      <c r="B80" s="180" t="str">
        <f t="shared" si="1"/>
        <v>1</v>
      </c>
      <c r="C80" s="180" t="str">
        <f t="shared" si="2"/>
        <v>Welcoming Vampire</v>
      </c>
      <c r="D80" s="180" t="str">
        <f t="shared" si="13"/>
        <v>March of the Machine Commander</v>
      </c>
      <c r="E80" s="180" t="str">
        <f t="shared" si="4"/>
        <v>MKC</v>
      </c>
      <c r="G80" s="16" t="s">
        <v>349</v>
      </c>
      <c r="H80" s="176"/>
      <c r="I80" s="177"/>
      <c r="J80" s="180" t="str">
        <f t="shared" si="5"/>
        <v>THB</v>
      </c>
      <c r="K80" s="180" t="str">
        <f t="shared" si="6"/>
        <v>Theros Beyond Death</v>
      </c>
      <c r="M80" s="180" t="str">
        <f t="shared" si="7"/>
        <v>THB = Theros Beyond Death</v>
      </c>
      <c r="N80" s="177"/>
    </row>
    <row r="81" ht="15.75" customHeight="1">
      <c r="A81" s="19" t="s">
        <v>350</v>
      </c>
      <c r="B81" s="180" t="str">
        <f t="shared" si="1"/>
        <v>1</v>
      </c>
      <c r="C81" s="180" t="str">
        <f t="shared" si="2"/>
        <v>Anzrag's Rampage</v>
      </c>
      <c r="D81" s="180" t="str">
        <f t="shared" si="13"/>
        <v>Midnight Hunt Commander</v>
      </c>
      <c r="E81" s="180" t="str">
        <f t="shared" si="4"/>
        <v>MKM</v>
      </c>
      <c r="G81" s="16" t="s">
        <v>351</v>
      </c>
      <c r="H81" s="176"/>
      <c r="I81" s="177"/>
      <c r="J81" s="180" t="str">
        <f t="shared" si="5"/>
        <v>THS</v>
      </c>
      <c r="K81" s="180" t="str">
        <f t="shared" si="6"/>
        <v>Theros</v>
      </c>
      <c r="M81" s="180" t="str">
        <f t="shared" si="7"/>
        <v>THS = Theros</v>
      </c>
      <c r="N81" s="177"/>
    </row>
    <row r="82" ht="15.75" customHeight="1">
      <c r="A82" s="19" t="s">
        <v>352</v>
      </c>
      <c r="B82" s="180" t="str">
        <f t="shared" si="1"/>
        <v>2</v>
      </c>
      <c r="C82" s="180" t="str">
        <f t="shared" si="2"/>
        <v>Delney, Streetwise Lookout</v>
      </c>
      <c r="D82" s="180" t="str">
        <f t="shared" si="13"/>
        <v>Midnight Hunt Commander</v>
      </c>
      <c r="E82" s="180" t="str">
        <f t="shared" si="4"/>
        <v>MKM</v>
      </c>
      <c r="G82" s="16" t="s">
        <v>353</v>
      </c>
      <c r="H82" s="176"/>
      <c r="I82" s="177"/>
      <c r="J82" s="180" t="str">
        <f t="shared" si="5"/>
        <v>TSP</v>
      </c>
      <c r="K82" s="180" t="str">
        <f t="shared" si="6"/>
        <v>Time Spiral</v>
      </c>
      <c r="M82" s="180" t="str">
        <f t="shared" si="7"/>
        <v>TSP = Time Spiral</v>
      </c>
      <c r="N82" s="177"/>
    </row>
    <row r="83" ht="15.75" customHeight="1">
      <c r="A83" s="19" t="s">
        <v>354</v>
      </c>
      <c r="B83" s="180" t="str">
        <f t="shared" si="1"/>
        <v>1</v>
      </c>
      <c r="C83" s="180" t="str">
        <f t="shared" si="2"/>
        <v>Demand Answers</v>
      </c>
      <c r="D83" s="180" t="str">
        <f t="shared" si="13"/>
        <v>Midnight Hunt Commander</v>
      </c>
      <c r="E83" s="180" t="str">
        <f t="shared" si="4"/>
        <v>MKM</v>
      </c>
      <c r="G83" s="16" t="s">
        <v>355</v>
      </c>
      <c r="H83" s="176"/>
      <c r="I83" s="177"/>
      <c r="J83" s="180" t="str">
        <f t="shared" si="5"/>
        <v>TSR</v>
      </c>
      <c r="K83" s="180" t="str">
        <f t="shared" si="6"/>
        <v>Time Spiral Remastered</v>
      </c>
      <c r="M83" s="180" t="str">
        <f t="shared" si="7"/>
        <v>TSR = Time Spiral Remastered</v>
      </c>
      <c r="N83" s="177"/>
    </row>
    <row r="84" ht="15.75" customHeight="1">
      <c r="A84" s="19" t="s">
        <v>356</v>
      </c>
      <c r="B84" s="180" t="str">
        <f t="shared" si="1"/>
        <v>1</v>
      </c>
      <c r="C84" s="180" t="str">
        <f t="shared" si="2"/>
        <v>Doorkeeper Thrull</v>
      </c>
      <c r="D84" s="180" t="str">
        <f t="shared" si="13"/>
        <v>Midnight Hunt Commander</v>
      </c>
      <c r="E84" s="180" t="str">
        <f t="shared" si="4"/>
        <v>MKM</v>
      </c>
      <c r="G84" s="16" t="s">
        <v>357</v>
      </c>
      <c r="H84" s="176"/>
      <c r="I84" s="177"/>
      <c r="J84" s="180" t="str">
        <f t="shared" si="5"/>
        <v>UMA</v>
      </c>
      <c r="K84" s="180" t="str">
        <f t="shared" si="6"/>
        <v>Ultimate Masters</v>
      </c>
      <c r="M84" s="180" t="str">
        <f t="shared" si="7"/>
        <v>UMA = Ultimate Masters</v>
      </c>
      <c r="N84" s="177"/>
    </row>
    <row r="85" ht="15.75" customHeight="1">
      <c r="A85" s="19" t="s">
        <v>358</v>
      </c>
      <c r="B85" s="180" t="str">
        <f t="shared" si="1"/>
        <v>1</v>
      </c>
      <c r="C85" s="180" t="str">
        <f t="shared" si="2"/>
        <v>Judith, Carnage Connoisseur</v>
      </c>
      <c r="D85" s="180" t="str">
        <f t="shared" si="13"/>
        <v>Midnight Hunt Commander</v>
      </c>
      <c r="E85" s="180" t="str">
        <f t="shared" si="4"/>
        <v>MKM</v>
      </c>
      <c r="G85" s="16" t="s">
        <v>359</v>
      </c>
      <c r="H85" s="176"/>
      <c r="I85" s="177"/>
      <c r="J85" s="180" t="str">
        <f t="shared" si="5"/>
        <v>VOW</v>
      </c>
      <c r="K85" s="180" t="str">
        <f t="shared" si="6"/>
        <v>Innistrad: Crimson Vow</v>
      </c>
      <c r="M85" s="180" t="str">
        <f t="shared" si="7"/>
        <v>VOW = Innistrad: Crimson Vow </v>
      </c>
      <c r="N85" s="177"/>
    </row>
    <row r="86" ht="15.75" customHeight="1">
      <c r="A86" s="19" t="s">
        <v>360</v>
      </c>
      <c r="B86" s="180" t="str">
        <f t="shared" si="1"/>
        <v>1</v>
      </c>
      <c r="C86" s="180" t="str">
        <f t="shared" si="2"/>
        <v>Outrageous Robbery</v>
      </c>
      <c r="D86" s="180" t="str">
        <f t="shared" si="13"/>
        <v>Midnight Hunt Commander</v>
      </c>
      <c r="E86" s="180" t="str">
        <f t="shared" si="4"/>
        <v>MKM</v>
      </c>
      <c r="G86" s="16" t="s">
        <v>361</v>
      </c>
      <c r="H86" s="176"/>
      <c r="I86" s="177"/>
      <c r="J86" s="180" t="str">
        <f t="shared" si="5"/>
        <v>WAR</v>
      </c>
      <c r="K86" s="180" t="str">
        <f t="shared" si="6"/>
        <v>War of the Spark</v>
      </c>
      <c r="M86" s="180" t="str">
        <f t="shared" si="7"/>
        <v>WAR = War of the Spark</v>
      </c>
      <c r="N86" s="177"/>
    </row>
    <row r="87" ht="15.75" customHeight="1">
      <c r="A87" s="19" t="s">
        <v>362</v>
      </c>
      <c r="B87" s="180" t="str">
        <f t="shared" si="1"/>
        <v>1</v>
      </c>
      <c r="C87" s="180" t="str">
        <f t="shared" si="2"/>
        <v>Proft's Eidetic Memory</v>
      </c>
      <c r="D87" s="180" t="str">
        <f t="shared" si="13"/>
        <v>Midnight Hunt Commander</v>
      </c>
      <c r="E87" s="180" t="str">
        <f t="shared" si="4"/>
        <v>MKM</v>
      </c>
      <c r="G87" s="16" t="s">
        <v>363</v>
      </c>
      <c r="H87" s="176"/>
      <c r="I87" s="177"/>
      <c r="J87" s="180" t="str">
        <f t="shared" si="5"/>
        <v>WHO</v>
      </c>
      <c r="K87" s="180" t="str">
        <f t="shared" si="6"/>
        <v>Commander Legends: Battle for Baldur's Gate</v>
      </c>
      <c r="M87" s="180" t="str">
        <f t="shared" si="7"/>
        <v>WHO = Commander Legends: Battle for Baldur's Gate</v>
      </c>
      <c r="N87" s="177"/>
    </row>
    <row r="88" ht="15.75" customHeight="1">
      <c r="A88" s="19" t="s">
        <v>364</v>
      </c>
      <c r="B88" s="180" t="str">
        <f t="shared" si="1"/>
        <v>1</v>
      </c>
      <c r="C88" s="180" t="str">
        <f t="shared" si="2"/>
        <v>Snarling Gorehound</v>
      </c>
      <c r="D88" s="180" t="str">
        <f t="shared" si="13"/>
        <v>Midnight Hunt Commander</v>
      </c>
      <c r="E88" s="180" t="str">
        <f t="shared" si="4"/>
        <v>MKM</v>
      </c>
      <c r="G88" s="16" t="s">
        <v>365</v>
      </c>
      <c r="H88" s="176"/>
      <c r="I88" s="177"/>
      <c r="J88" s="180" t="str">
        <f t="shared" si="5"/>
        <v>WOE</v>
      </c>
      <c r="K88" s="180" t="str">
        <f t="shared" si="6"/>
        <v>Wilds of Eldraine</v>
      </c>
      <c r="M88" s="180" t="str">
        <f t="shared" si="7"/>
        <v>WOE = Wilds of Eldraine</v>
      </c>
      <c r="N88" s="177"/>
    </row>
    <row r="89" ht="15.75" customHeight="1">
      <c r="A89" s="19" t="s">
        <v>366</v>
      </c>
      <c r="B89" s="180" t="str">
        <f t="shared" si="1"/>
        <v>1</v>
      </c>
      <c r="C89" s="180" t="str">
        <f t="shared" si="2"/>
        <v>Warleader's Call</v>
      </c>
      <c r="D89" s="180" t="str">
        <f t="shared" si="13"/>
        <v>Midnight Hunt Commander</v>
      </c>
      <c r="E89" s="180" t="str">
        <f t="shared" si="4"/>
        <v>MKM</v>
      </c>
      <c r="G89" s="16" t="s">
        <v>367</v>
      </c>
      <c r="H89" s="176"/>
      <c r="I89" s="177"/>
      <c r="J89" s="180" t="str">
        <f t="shared" si="5"/>
        <v>ZNC</v>
      </c>
      <c r="K89" s="180" t="str">
        <f t="shared" si="6"/>
        <v>Zendikar: Rising</v>
      </c>
      <c r="M89" s="180" t="str">
        <f t="shared" si="7"/>
        <v>ZNC = Zendikar: Rising</v>
      </c>
      <c r="N89" s="177"/>
    </row>
    <row r="90" ht="15.75" customHeight="1">
      <c r="A90" s="19" t="s">
        <v>368</v>
      </c>
      <c r="B90" s="180" t="str">
        <f t="shared" si="1"/>
        <v>3</v>
      </c>
      <c r="C90" s="180" t="str">
        <f t="shared" si="2"/>
        <v>Winds of Abandon</v>
      </c>
      <c r="D90" s="180" t="str">
        <f t="shared" si="13"/>
        <v>Modern Horizons</v>
      </c>
      <c r="E90" s="180" t="str">
        <f t="shared" si="4"/>
        <v>MH1</v>
      </c>
      <c r="G90" s="16" t="s">
        <v>369</v>
      </c>
      <c r="H90" s="176"/>
      <c r="I90" s="177"/>
      <c r="J90" s="180" t="str">
        <f t="shared" si="5"/>
        <v>ZNR</v>
      </c>
      <c r="K90" s="180" t="str">
        <f t="shared" si="6"/>
        <v>Zendikar Rising</v>
      </c>
      <c r="M90" s="180" t="str">
        <f t="shared" si="7"/>
        <v>ZNR = Zendikar Rising</v>
      </c>
      <c r="N90" s="177"/>
    </row>
    <row r="91" ht="15.75" customHeight="1">
      <c r="A91" s="19" t="s">
        <v>370</v>
      </c>
      <c r="B91" s="180" t="str">
        <f t="shared" si="1"/>
        <v>1</v>
      </c>
      <c r="C91" s="180" t="str">
        <f t="shared" si="2"/>
        <v>Obsidian Charmaw</v>
      </c>
      <c r="D91" s="180" t="str">
        <f t="shared" si="13"/>
        <v>Modern Horizons 2</v>
      </c>
      <c r="E91" s="180" t="str">
        <f t="shared" si="4"/>
        <v>MH2</v>
      </c>
      <c r="G91" s="19" t="s">
        <v>371</v>
      </c>
      <c r="H91" s="176"/>
      <c r="I91" s="177"/>
      <c r="J91" s="180" t="str">
        <f t="shared" si="5"/>
        <v>Cmm</v>
      </c>
      <c r="K91" s="180" t="str">
        <f t="shared" si="6"/>
        <v>Commander Masters</v>
      </c>
      <c r="M91" s="180" t="str">
        <f t="shared" si="7"/>
        <v>Cmm = Commander Masters</v>
      </c>
      <c r="N91" s="177"/>
    </row>
    <row r="92" ht="15.75" customHeight="1">
      <c r="A92" s="19" t="s">
        <v>372</v>
      </c>
      <c r="B92" s="180" t="str">
        <f t="shared" si="1"/>
        <v>1</v>
      </c>
      <c r="C92" s="180" t="str">
        <f t="shared" si="2"/>
        <v>Abstruse Appropriation</v>
      </c>
      <c r="D92" s="180" t="str">
        <f t="shared" si="13"/>
        <v>Modern Horizons 3</v>
      </c>
      <c r="E92" s="180" t="str">
        <f t="shared" si="4"/>
        <v>MH3</v>
      </c>
      <c r="G92" s="19" t="s">
        <v>373</v>
      </c>
      <c r="H92" s="176"/>
      <c r="I92" s="177"/>
      <c r="J92" s="180" t="str">
        <f t="shared" si="5"/>
        <v>LCI</v>
      </c>
      <c r="K92" s="180" t="str">
        <f t="shared" si="6"/>
        <v>The Lost Caverns of Ixalan</v>
      </c>
      <c r="M92" s="180" t="str">
        <f t="shared" si="7"/>
        <v>LCI = The Lost Caverns of Ixalan</v>
      </c>
      <c r="N92" s="177"/>
    </row>
    <row r="93" ht="15.75" customHeight="1">
      <c r="A93" s="19" t="s">
        <v>374</v>
      </c>
      <c r="B93" s="180" t="str">
        <f t="shared" si="1"/>
        <v>1</v>
      </c>
      <c r="C93" s="180" t="str">
        <f t="shared" si="2"/>
        <v>Archway of Innovation</v>
      </c>
      <c r="D93" s="180" t="str">
        <f t="shared" si="13"/>
        <v>Modern Horizons 3</v>
      </c>
      <c r="E93" s="180" t="str">
        <f t="shared" si="4"/>
        <v>MH3</v>
      </c>
      <c r="G93" s="19" t="s">
        <v>375</v>
      </c>
      <c r="H93" s="176"/>
      <c r="I93" s="177"/>
      <c r="J93" s="180" t="str">
        <f t="shared" si="5"/>
        <v>RVR</v>
      </c>
      <c r="K93" s="180" t="str">
        <f t="shared" si="6"/>
        <v>Ravnica Remastered</v>
      </c>
      <c r="M93" s="180" t="str">
        <f t="shared" si="7"/>
        <v>RVR = Ravnica Remastered</v>
      </c>
      <c r="N93" s="177"/>
    </row>
    <row r="94" ht="15.75" customHeight="1">
      <c r="A94" s="19" t="s">
        <v>376</v>
      </c>
      <c r="B94" s="180" t="str">
        <f t="shared" si="1"/>
        <v>2</v>
      </c>
      <c r="C94" s="180" t="str">
        <f t="shared" si="2"/>
        <v>Arena of Glory</v>
      </c>
      <c r="D94" s="180" t="str">
        <f t="shared" si="13"/>
        <v>Modern Horizons 3</v>
      </c>
      <c r="E94" s="180" t="str">
        <f t="shared" si="4"/>
        <v>MH3</v>
      </c>
      <c r="G94" s="19" t="s">
        <v>377</v>
      </c>
      <c r="H94" s="176"/>
      <c r="I94" s="177"/>
      <c r="J94" s="180" t="str">
        <f t="shared" si="5"/>
        <v>RVR</v>
      </c>
      <c r="K94" s="180" t="str">
        <f t="shared" si="6"/>
        <v>Ravnica Remastered</v>
      </c>
      <c r="M94" s="180" t="str">
        <f t="shared" si="7"/>
        <v>RVR = Ravnica Remastered</v>
      </c>
      <c r="N94" s="177"/>
    </row>
    <row r="95" ht="15.75" customHeight="1">
      <c r="A95" s="19" t="s">
        <v>378</v>
      </c>
      <c r="B95" s="180" t="str">
        <f t="shared" si="1"/>
        <v>1</v>
      </c>
      <c r="C95" s="180" t="str">
        <f t="shared" si="2"/>
        <v>Brainsurge</v>
      </c>
      <c r="D95" s="180" t="str">
        <f t="shared" si="13"/>
        <v>Modern Horizons 3</v>
      </c>
      <c r="E95" s="180" t="str">
        <f t="shared" si="4"/>
        <v>MH3</v>
      </c>
      <c r="G95" s="19" t="s">
        <v>379</v>
      </c>
      <c r="H95" s="176"/>
      <c r="I95" s="177"/>
      <c r="J95" s="180" t="str">
        <f t="shared" si="5"/>
        <v>CC1</v>
      </c>
      <c r="K95" s="180" t="str">
        <f t="shared" si="6"/>
        <v>Commander Collection: Green</v>
      </c>
      <c r="M95" s="180" t="str">
        <f t="shared" si="7"/>
        <v>CC1 = Commander Collection: Green</v>
      </c>
      <c r="N95" s="177"/>
    </row>
    <row r="96" ht="15.75" customHeight="1">
      <c r="A96" s="19" t="s">
        <v>380</v>
      </c>
      <c r="B96" s="180" t="str">
        <f t="shared" si="1"/>
        <v>2</v>
      </c>
      <c r="C96" s="180" t="str">
        <f t="shared" si="2"/>
        <v>Chthonian Nightmare</v>
      </c>
      <c r="D96" s="180" t="str">
        <f t="shared" si="13"/>
        <v>Modern Horizons 3</v>
      </c>
      <c r="E96" s="180" t="str">
        <f t="shared" si="4"/>
        <v>MH3</v>
      </c>
      <c r="G96" s="19" t="s">
        <v>381</v>
      </c>
      <c r="H96" s="176"/>
      <c r="I96" s="177"/>
      <c r="J96" s="180" t="str">
        <f t="shared" si="5"/>
        <v>PIP</v>
      </c>
      <c r="K96" s="180" t="str">
        <f t="shared" si="6"/>
        <v>Fallout</v>
      </c>
      <c r="M96" s="180" t="str">
        <f t="shared" ref="M96:M114" si="14">IF(G96="","",IF(ISNUMBER(SEARCH("=", G96)), G96, TRIM(MID(G96, FIND("(" , G96) + 1, FIND(")", G96) - FIND("(" , G96) - 1)) &amp; " = " &amp; TRIM(LEFT(G96, FIND("(" , G96) - 1))))</f>
        <v>PIP = Fallout</v>
      </c>
      <c r="N96" s="177"/>
    </row>
    <row r="97" ht="15.75" customHeight="1">
      <c r="A97" s="19" t="s">
        <v>382</v>
      </c>
      <c r="B97" s="180" t="str">
        <f t="shared" si="1"/>
        <v>3</v>
      </c>
      <c r="C97" s="180" t="str">
        <f t="shared" si="2"/>
        <v>Collective Resistance</v>
      </c>
      <c r="D97" s="180" t="str">
        <f t="shared" si="13"/>
        <v>Modern Horizons 3</v>
      </c>
      <c r="E97" s="180" t="str">
        <f t="shared" si="4"/>
        <v>MH3</v>
      </c>
      <c r="H97" s="176"/>
      <c r="I97" s="177"/>
      <c r="J97" s="180" t="str">
        <f t="shared" si="5"/>
        <v/>
      </c>
      <c r="K97" s="180" t="str">
        <f t="shared" si="6"/>
        <v/>
      </c>
      <c r="M97" s="180" t="str">
        <f t="shared" si="14"/>
        <v/>
      </c>
      <c r="N97" s="177"/>
    </row>
    <row r="98" ht="15.75" customHeight="1">
      <c r="A98" s="19" t="s">
        <v>383</v>
      </c>
      <c r="B98" s="180" t="str">
        <f t="shared" si="1"/>
        <v>1</v>
      </c>
      <c r="C98" s="180" t="str">
        <f t="shared" si="2"/>
        <v>Consign to Memory</v>
      </c>
      <c r="D98" s="180" t="str">
        <f t="shared" si="13"/>
        <v>Modern Horizons 3</v>
      </c>
      <c r="E98" s="180" t="str">
        <f t="shared" si="4"/>
        <v>MH3</v>
      </c>
      <c r="H98" s="176"/>
      <c r="I98" s="177"/>
      <c r="J98" s="180" t="str">
        <f t="shared" si="5"/>
        <v/>
      </c>
      <c r="K98" s="180" t="str">
        <f t="shared" si="6"/>
        <v/>
      </c>
      <c r="M98" s="180" t="str">
        <f t="shared" si="14"/>
        <v/>
      </c>
      <c r="N98" s="177"/>
    </row>
    <row r="99" ht="15.75" customHeight="1">
      <c r="A99" s="19" t="s">
        <v>384</v>
      </c>
      <c r="B99" s="180" t="str">
        <f t="shared" si="1"/>
        <v>1</v>
      </c>
      <c r="C99" s="180" t="str">
        <f t="shared" si="2"/>
        <v>Disruptor Flute</v>
      </c>
      <c r="D99" s="180" t="str">
        <f t="shared" si="13"/>
        <v>Modern Horizons 3</v>
      </c>
      <c r="E99" s="180" t="str">
        <f t="shared" si="4"/>
        <v>MH3</v>
      </c>
      <c r="H99" s="176"/>
      <c r="I99" s="177"/>
      <c r="J99" s="180" t="str">
        <f t="shared" si="5"/>
        <v/>
      </c>
      <c r="K99" s="180" t="str">
        <f t="shared" si="6"/>
        <v/>
      </c>
      <c r="M99" s="180" t="str">
        <f t="shared" si="14"/>
        <v/>
      </c>
      <c r="N99" s="177"/>
    </row>
    <row r="100" ht="15.75" customHeight="1">
      <c r="A100" s="19" t="s">
        <v>385</v>
      </c>
      <c r="B100" s="180" t="str">
        <f t="shared" si="1"/>
        <v>1</v>
      </c>
      <c r="C100" s="180" t="str">
        <f t="shared" si="2"/>
        <v>Emrakul's Messenger</v>
      </c>
      <c r="D100" s="180" t="str">
        <f t="shared" si="13"/>
        <v>Modern Horizons 3</v>
      </c>
      <c r="E100" s="180" t="str">
        <f t="shared" si="4"/>
        <v>MH3</v>
      </c>
      <c r="H100" s="176"/>
      <c r="I100" s="177"/>
      <c r="J100" s="180" t="str">
        <f t="shared" si="5"/>
        <v/>
      </c>
      <c r="K100" s="180" t="str">
        <f t="shared" si="6"/>
        <v/>
      </c>
      <c r="M100" s="180" t="str">
        <f t="shared" si="14"/>
        <v/>
      </c>
      <c r="N100" s="177"/>
    </row>
    <row r="101" ht="15.75" customHeight="1">
      <c r="A101" s="19" t="s">
        <v>386</v>
      </c>
      <c r="B101" s="180" t="str">
        <f t="shared" si="1"/>
        <v>4</v>
      </c>
      <c r="C101" s="180" t="str">
        <f t="shared" si="2"/>
        <v>Flare of Cultivation</v>
      </c>
      <c r="D101" s="180" t="str">
        <f t="shared" si="13"/>
        <v>Modern Horizons 3</v>
      </c>
      <c r="E101" s="180" t="str">
        <f t="shared" si="4"/>
        <v>MH3</v>
      </c>
      <c r="H101" s="176"/>
      <c r="I101" s="177"/>
      <c r="J101" s="180" t="str">
        <f t="shared" si="5"/>
        <v/>
      </c>
      <c r="K101" s="180" t="str">
        <f t="shared" si="6"/>
        <v/>
      </c>
      <c r="M101" s="180" t="str">
        <f t="shared" si="14"/>
        <v/>
      </c>
      <c r="N101" s="177"/>
    </row>
    <row r="102" ht="15.75" customHeight="1">
      <c r="A102" s="19" t="s">
        <v>387</v>
      </c>
      <c r="B102" s="180" t="str">
        <f t="shared" si="1"/>
        <v>1</v>
      </c>
      <c r="C102" s="180" t="str">
        <f t="shared" si="2"/>
        <v>Flare of Denial</v>
      </c>
      <c r="D102" s="180" t="str">
        <f t="shared" si="13"/>
        <v>Modern Horizons 3</v>
      </c>
      <c r="E102" s="180" t="str">
        <f t="shared" si="4"/>
        <v>MH3</v>
      </c>
      <c r="H102" s="176"/>
      <c r="I102" s="177"/>
      <c r="J102" s="180" t="str">
        <f t="shared" si="5"/>
        <v/>
      </c>
      <c r="K102" s="180" t="str">
        <f t="shared" si="6"/>
        <v/>
      </c>
      <c r="M102" s="180" t="str">
        <f t="shared" si="14"/>
        <v/>
      </c>
      <c r="N102" s="177"/>
    </row>
    <row r="103" ht="15.75" customHeight="1">
      <c r="A103" s="19" t="s">
        <v>388</v>
      </c>
      <c r="B103" s="180" t="str">
        <f t="shared" si="1"/>
        <v>1</v>
      </c>
      <c r="C103" s="180" t="str">
        <f t="shared" si="2"/>
        <v>Flare of Duplication</v>
      </c>
      <c r="D103" s="180" t="str">
        <f t="shared" si="13"/>
        <v>Modern Horizons 3</v>
      </c>
      <c r="E103" s="180" t="str">
        <f t="shared" si="4"/>
        <v>MH3</v>
      </c>
      <c r="H103" s="176"/>
      <c r="I103" s="177"/>
      <c r="J103" s="180" t="str">
        <f t="shared" si="5"/>
        <v/>
      </c>
      <c r="K103" s="180" t="str">
        <f t="shared" si="6"/>
        <v/>
      </c>
      <c r="M103" s="180" t="str">
        <f t="shared" si="14"/>
        <v/>
      </c>
      <c r="N103" s="177"/>
    </row>
    <row r="104" ht="15.75" customHeight="1">
      <c r="A104" s="19" t="s">
        <v>389</v>
      </c>
      <c r="B104" s="180" t="str">
        <f t="shared" si="1"/>
        <v>8</v>
      </c>
      <c r="C104" s="180" t="str">
        <f t="shared" si="2"/>
        <v>Flare of Fortitude</v>
      </c>
      <c r="D104" s="180" t="str">
        <f t="shared" si="13"/>
        <v>Modern Horizons 3</v>
      </c>
      <c r="E104" s="180" t="str">
        <f t="shared" si="4"/>
        <v>MH3</v>
      </c>
      <c r="H104" s="176"/>
      <c r="I104" s="177"/>
      <c r="J104" s="180" t="str">
        <f t="shared" si="5"/>
        <v/>
      </c>
      <c r="K104" s="180" t="str">
        <f t="shared" si="6"/>
        <v/>
      </c>
      <c r="M104" s="180" t="str">
        <f t="shared" si="14"/>
        <v/>
      </c>
      <c r="N104" s="177"/>
    </row>
    <row r="105" ht="15.75" customHeight="1">
      <c r="A105" s="19" t="s">
        <v>390</v>
      </c>
      <c r="B105" s="180" t="str">
        <f t="shared" si="1"/>
        <v>1</v>
      </c>
      <c r="C105" s="180" t="str">
        <f t="shared" si="2"/>
        <v>Flare of Malice</v>
      </c>
      <c r="D105" s="180" t="str">
        <f t="shared" si="13"/>
        <v>Modern Horizons 3</v>
      </c>
      <c r="E105" s="180" t="str">
        <f t="shared" si="4"/>
        <v>MH3</v>
      </c>
      <c r="H105" s="176"/>
      <c r="I105" s="177"/>
      <c r="J105" s="180" t="str">
        <f t="shared" si="5"/>
        <v/>
      </c>
      <c r="K105" s="180" t="str">
        <f t="shared" si="6"/>
        <v/>
      </c>
      <c r="M105" s="180" t="str">
        <f t="shared" si="14"/>
        <v/>
      </c>
      <c r="N105" s="177"/>
    </row>
    <row r="106" ht="15.75" customHeight="1">
      <c r="A106" s="19" t="s">
        <v>391</v>
      </c>
      <c r="B106" s="180" t="str">
        <f t="shared" si="1"/>
        <v>1</v>
      </c>
      <c r="C106" s="180" t="str">
        <f t="shared" si="2"/>
        <v>Grim Servant</v>
      </c>
      <c r="D106" s="180" t="str">
        <f t="shared" si="13"/>
        <v>Modern Horizons 3</v>
      </c>
      <c r="E106" s="180" t="str">
        <f t="shared" si="4"/>
        <v>MH3</v>
      </c>
      <c r="H106" s="176"/>
      <c r="I106" s="177"/>
      <c r="J106" s="180" t="str">
        <f t="shared" si="5"/>
        <v/>
      </c>
      <c r="K106" s="180" t="str">
        <f t="shared" si="6"/>
        <v/>
      </c>
      <c r="M106" s="180" t="str">
        <f t="shared" si="14"/>
        <v/>
      </c>
      <c r="N106" s="177"/>
    </row>
    <row r="107" ht="15.75" customHeight="1">
      <c r="A107" s="19" t="s">
        <v>392</v>
      </c>
      <c r="B107" s="180" t="str">
        <f t="shared" si="1"/>
        <v>2</v>
      </c>
      <c r="C107" s="180" t="str">
        <f t="shared" si="2"/>
        <v>Guide of Souls</v>
      </c>
      <c r="D107" s="180" t="str">
        <f t="shared" si="13"/>
        <v>Modern Horizons 3</v>
      </c>
      <c r="E107" s="180" t="str">
        <f t="shared" si="4"/>
        <v>MH3</v>
      </c>
      <c r="H107" s="176"/>
      <c r="I107" s="177"/>
      <c r="J107" s="180" t="str">
        <f t="shared" si="5"/>
        <v/>
      </c>
      <c r="K107" s="180" t="str">
        <f t="shared" si="6"/>
        <v/>
      </c>
      <c r="M107" s="180" t="str">
        <f t="shared" si="14"/>
        <v/>
      </c>
      <c r="N107" s="177"/>
    </row>
    <row r="108" ht="15.75" customHeight="1">
      <c r="A108" s="19" t="s">
        <v>393</v>
      </c>
      <c r="B108" s="180" t="str">
        <f t="shared" si="1"/>
        <v>1</v>
      </c>
      <c r="C108" s="180" t="str">
        <f t="shared" si="2"/>
        <v>Marionette Apprentice</v>
      </c>
      <c r="D108" s="180" t="str">
        <f t="shared" si="13"/>
        <v>Modern Horizons 3</v>
      </c>
      <c r="E108" s="180" t="str">
        <f t="shared" si="4"/>
        <v>MH3</v>
      </c>
      <c r="H108" s="176"/>
      <c r="I108" s="177"/>
      <c r="J108" s="180" t="str">
        <f t="shared" si="5"/>
        <v/>
      </c>
      <c r="K108" s="180" t="str">
        <f t="shared" si="6"/>
        <v/>
      </c>
      <c r="M108" s="180" t="str">
        <f t="shared" si="14"/>
        <v/>
      </c>
      <c r="N108" s="177"/>
    </row>
    <row r="109" ht="15.75" customHeight="1">
      <c r="A109" s="19" t="s">
        <v>394</v>
      </c>
      <c r="B109" s="180" t="str">
        <f t="shared" si="1"/>
        <v>1</v>
      </c>
      <c r="C109" s="180" t="str">
        <f t="shared" si="2"/>
        <v>Monumental Henge</v>
      </c>
      <c r="D109" s="180" t="str">
        <f t="shared" si="13"/>
        <v>Modern Horizons 3</v>
      </c>
      <c r="E109" s="180" t="str">
        <f t="shared" si="4"/>
        <v>MH3</v>
      </c>
      <c r="H109" s="176"/>
      <c r="I109" s="177"/>
      <c r="J109" s="180" t="str">
        <f t="shared" si="5"/>
        <v/>
      </c>
      <c r="K109" s="180" t="str">
        <f t="shared" si="6"/>
        <v/>
      </c>
      <c r="M109" s="180" t="str">
        <f t="shared" si="14"/>
        <v/>
      </c>
      <c r="N109" s="177"/>
    </row>
    <row r="110" ht="15.75" customHeight="1">
      <c r="A110" s="19" t="s">
        <v>395</v>
      </c>
      <c r="B110" s="180" t="str">
        <f t="shared" si="1"/>
        <v>3</v>
      </c>
      <c r="C110" s="180" t="str">
        <f t="shared" si="2"/>
        <v>Ocelot Pride</v>
      </c>
      <c r="D110" s="180" t="str">
        <f t="shared" si="13"/>
        <v>Modern Horizons 3</v>
      </c>
      <c r="E110" s="180" t="str">
        <f t="shared" si="4"/>
        <v>MH3</v>
      </c>
      <c r="H110" s="176"/>
      <c r="I110" s="177"/>
      <c r="J110" s="180" t="str">
        <f t="shared" si="5"/>
        <v/>
      </c>
      <c r="K110" s="180" t="str">
        <f t="shared" si="6"/>
        <v/>
      </c>
      <c r="M110" s="180" t="str">
        <f t="shared" si="14"/>
        <v/>
      </c>
      <c r="N110" s="177"/>
    </row>
    <row r="111" ht="15.75" customHeight="1">
      <c r="A111" s="19" t="s">
        <v>396</v>
      </c>
      <c r="B111" s="180" t="str">
        <f t="shared" si="1"/>
        <v>1</v>
      </c>
      <c r="C111" s="180" t="str">
        <f t="shared" si="2"/>
        <v>Psychic Frog</v>
      </c>
      <c r="D111" s="180" t="str">
        <f t="shared" si="13"/>
        <v>Modern Horizons 3</v>
      </c>
      <c r="E111" s="180" t="str">
        <f t="shared" si="4"/>
        <v>MH3</v>
      </c>
      <c r="H111" s="176"/>
      <c r="I111" s="177"/>
      <c r="J111" s="180" t="str">
        <f t="shared" si="5"/>
        <v/>
      </c>
      <c r="K111" s="180" t="str">
        <f t="shared" si="6"/>
        <v/>
      </c>
      <c r="M111" s="180" t="str">
        <f t="shared" si="14"/>
        <v/>
      </c>
      <c r="N111" s="177"/>
    </row>
    <row r="112" ht="15.75" customHeight="1">
      <c r="A112" s="19" t="s">
        <v>397</v>
      </c>
      <c r="B112" s="180" t="str">
        <f t="shared" si="1"/>
        <v>1</v>
      </c>
      <c r="C112" s="180" t="str">
        <f t="shared" si="2"/>
        <v>Ral and the Implicit Maze</v>
      </c>
      <c r="D112" s="180" t="str">
        <f t="shared" si="13"/>
        <v>Modern Horizons 3</v>
      </c>
      <c r="E112" s="180" t="str">
        <f t="shared" si="4"/>
        <v>MH3</v>
      </c>
      <c r="H112" s="176"/>
      <c r="I112" s="177"/>
      <c r="J112" s="180" t="str">
        <f t="shared" si="5"/>
        <v/>
      </c>
      <c r="K112" s="180" t="str">
        <f t="shared" si="6"/>
        <v/>
      </c>
      <c r="M112" s="180" t="str">
        <f t="shared" si="14"/>
        <v/>
      </c>
      <c r="N112" s="177"/>
    </row>
    <row r="113" ht="15.75" customHeight="1">
      <c r="A113" s="19" t="s">
        <v>398</v>
      </c>
      <c r="B113" s="180" t="str">
        <f t="shared" si="1"/>
        <v>4</v>
      </c>
      <c r="C113" s="180" t="str">
        <f t="shared" si="2"/>
        <v>Shifting Woodland</v>
      </c>
      <c r="D113" s="180" t="str">
        <f t="shared" si="13"/>
        <v>Modern Horizons 3</v>
      </c>
      <c r="E113" s="180" t="str">
        <f t="shared" si="4"/>
        <v>MH3</v>
      </c>
      <c r="H113" s="176"/>
      <c r="I113" s="177"/>
      <c r="J113" s="180" t="str">
        <f t="shared" si="5"/>
        <v/>
      </c>
      <c r="K113" s="180" t="str">
        <f t="shared" si="6"/>
        <v/>
      </c>
      <c r="M113" s="180" t="str">
        <f t="shared" si="14"/>
        <v/>
      </c>
      <c r="N113" s="177"/>
    </row>
    <row r="114" ht="15.75" customHeight="1">
      <c r="A114" s="19" t="s">
        <v>399</v>
      </c>
      <c r="B114" s="180" t="str">
        <f t="shared" si="1"/>
        <v>2</v>
      </c>
      <c r="C114" s="180" t="str">
        <f t="shared" si="2"/>
        <v>Six</v>
      </c>
      <c r="D114" s="180" t="str">
        <f t="shared" si="13"/>
        <v>Modern Horizons 3</v>
      </c>
      <c r="E114" s="180" t="str">
        <f t="shared" si="4"/>
        <v>MH3</v>
      </c>
      <c r="H114" s="176"/>
      <c r="I114" s="177"/>
      <c r="J114" s="180" t="str">
        <f t="shared" si="5"/>
        <v/>
      </c>
      <c r="K114" s="180" t="str">
        <f t="shared" si="6"/>
        <v/>
      </c>
      <c r="M114" s="180" t="str">
        <f t="shared" si="14"/>
        <v/>
      </c>
      <c r="N114" s="177"/>
    </row>
    <row r="115" ht="15.75" customHeight="1">
      <c r="A115" s="19" t="s">
        <v>400</v>
      </c>
      <c r="B115" s="180" t="str">
        <f t="shared" si="1"/>
        <v>1</v>
      </c>
      <c r="C115" s="180" t="str">
        <f t="shared" si="2"/>
        <v>Sorin of House Markov // Sorin, Ravenous Neonate</v>
      </c>
      <c r="D115" s="180" t="str">
        <f t="shared" si="13"/>
        <v>Modern Horizons 3</v>
      </c>
      <c r="E115" s="180" t="str">
        <f t="shared" si="4"/>
        <v>MH3</v>
      </c>
      <c r="H115" s="181"/>
      <c r="I115" s="182"/>
      <c r="J115" s="183" t="s">
        <v>401</v>
      </c>
      <c r="K115" s="183" t="s">
        <v>402</v>
      </c>
      <c r="N115" s="177"/>
    </row>
    <row r="116" ht="15.75" customHeight="1">
      <c r="A116" s="19" t="s">
        <v>403</v>
      </c>
      <c r="B116" s="180" t="str">
        <f t="shared" si="1"/>
        <v>1</v>
      </c>
      <c r="C116" s="180" t="str">
        <f t="shared" si="2"/>
        <v>Springheart Nantuko</v>
      </c>
      <c r="D116" s="180" t="str">
        <f t="shared" si="13"/>
        <v>Modern Horizons 3</v>
      </c>
      <c r="E116" s="180" t="str">
        <f t="shared" si="4"/>
        <v>MH3</v>
      </c>
      <c r="H116" s="181"/>
      <c r="I116" s="182"/>
      <c r="J116" s="183" t="s">
        <v>404</v>
      </c>
      <c r="K116" s="183" t="s">
        <v>405</v>
      </c>
      <c r="N116" s="177"/>
    </row>
    <row r="117" ht="15.75" customHeight="1">
      <c r="A117" s="19" t="s">
        <v>406</v>
      </c>
      <c r="B117" s="180" t="str">
        <f t="shared" si="1"/>
        <v>2</v>
      </c>
      <c r="C117" s="180" t="str">
        <f t="shared" si="2"/>
        <v>Spymaster's Vault</v>
      </c>
      <c r="D117" s="180" t="str">
        <f t="shared" si="13"/>
        <v>Modern Horizons 3</v>
      </c>
      <c r="E117" s="180" t="str">
        <f t="shared" si="4"/>
        <v>MH3</v>
      </c>
      <c r="H117" s="181"/>
      <c r="I117" s="182"/>
      <c r="J117" s="183" t="s">
        <v>407</v>
      </c>
      <c r="K117" s="183" t="s">
        <v>408</v>
      </c>
      <c r="N117" s="177"/>
    </row>
    <row r="118" ht="15.75" customHeight="1">
      <c r="A118" s="19" t="s">
        <v>409</v>
      </c>
      <c r="B118" s="180" t="str">
        <f t="shared" si="1"/>
        <v>1</v>
      </c>
      <c r="C118" s="180" t="str">
        <f t="shared" si="2"/>
        <v>Ulamog, the Defiler</v>
      </c>
      <c r="D118" s="180" t="str">
        <f t="shared" si="13"/>
        <v>Modern Horizons 3</v>
      </c>
      <c r="E118" s="180" t="str">
        <f t="shared" si="4"/>
        <v>MH3</v>
      </c>
      <c r="H118" s="181"/>
      <c r="I118" s="182"/>
      <c r="J118" s="183" t="s">
        <v>410</v>
      </c>
      <c r="K118" s="183" t="s">
        <v>411</v>
      </c>
      <c r="N118" s="177"/>
    </row>
    <row r="119" ht="15.75" customHeight="1">
      <c r="A119" s="19" t="s">
        <v>412</v>
      </c>
      <c r="B119" s="180" t="str">
        <f t="shared" si="1"/>
        <v>6</v>
      </c>
      <c r="C119" s="180" t="str">
        <f t="shared" si="2"/>
        <v>Urza's Cave</v>
      </c>
      <c r="D119" s="180" t="str">
        <f t="shared" si="13"/>
        <v>Modern Horizons 3</v>
      </c>
      <c r="E119" s="180" t="str">
        <f t="shared" si="4"/>
        <v>MH3</v>
      </c>
      <c r="H119" s="181"/>
      <c r="I119" s="182"/>
      <c r="J119" s="183" t="s">
        <v>413</v>
      </c>
      <c r="K119" s="183" t="s">
        <v>414</v>
      </c>
      <c r="N119" s="177"/>
    </row>
    <row r="120" ht="15.75" customHeight="1">
      <c r="A120" s="19" t="s">
        <v>415</v>
      </c>
      <c r="B120" s="180" t="str">
        <f t="shared" si="1"/>
        <v>1</v>
      </c>
      <c r="C120" s="180" t="str">
        <f t="shared" si="2"/>
        <v>Vexing Bauble</v>
      </c>
      <c r="D120" s="180" t="str">
        <f t="shared" si="13"/>
        <v>Modern Horizons 3</v>
      </c>
      <c r="E120" s="180" t="str">
        <f t="shared" si="4"/>
        <v>MH3</v>
      </c>
      <c r="H120" s="181"/>
      <c r="I120" s="182"/>
      <c r="J120" s="183" t="s">
        <v>416</v>
      </c>
      <c r="K120" s="183" t="s">
        <v>417</v>
      </c>
      <c r="N120" s="177"/>
    </row>
    <row r="121" ht="15.75" customHeight="1">
      <c r="A121" s="19" t="s">
        <v>418</v>
      </c>
      <c r="B121" s="180" t="str">
        <f t="shared" si="1"/>
        <v>1</v>
      </c>
      <c r="C121" s="180" t="str">
        <f t="shared" si="2"/>
        <v>Warren Soultrader</v>
      </c>
      <c r="D121" s="180" t="str">
        <f t="shared" si="13"/>
        <v>Modern Horizons 3</v>
      </c>
      <c r="E121" s="180" t="str">
        <f t="shared" si="4"/>
        <v>MH3</v>
      </c>
      <c r="H121" s="181"/>
      <c r="I121" s="182"/>
      <c r="J121" s="183" t="s">
        <v>419</v>
      </c>
      <c r="K121" s="183" t="s">
        <v>420</v>
      </c>
      <c r="N121" s="177"/>
    </row>
    <row r="122" ht="15.75" customHeight="1">
      <c r="A122" s="19" t="s">
        <v>421</v>
      </c>
      <c r="B122" s="180" t="str">
        <f t="shared" si="1"/>
        <v>1</v>
      </c>
      <c r="C122" s="180" t="str">
        <f t="shared" si="2"/>
        <v>Witch Enchanter // Witch-Blessed Meadow</v>
      </c>
      <c r="D122" s="180" t="str">
        <f t="shared" si="13"/>
        <v>Modern Horizons 3</v>
      </c>
      <c r="E122" s="180" t="str">
        <f t="shared" si="4"/>
        <v>MH3</v>
      </c>
      <c r="H122" s="181"/>
      <c r="I122" s="182"/>
      <c r="J122" s="183" t="s">
        <v>422</v>
      </c>
      <c r="K122" s="183" t="s">
        <v>423</v>
      </c>
      <c r="N122" s="177"/>
    </row>
    <row r="123" ht="15.75" customHeight="1">
      <c r="A123" s="19" t="s">
        <v>424</v>
      </c>
      <c r="B123" s="180" t="str">
        <f t="shared" si="1"/>
        <v>2</v>
      </c>
      <c r="C123" s="180" t="str">
        <f t="shared" si="2"/>
        <v>Lazotep Quarry</v>
      </c>
      <c r="D123" s="180" t="str">
        <f t="shared" si="13"/>
        <v>Modern Horizons 3 Commander</v>
      </c>
      <c r="E123" s="180" t="str">
        <f t="shared" si="4"/>
        <v>M3C</v>
      </c>
      <c r="H123" s="181"/>
      <c r="I123" s="182"/>
      <c r="J123" s="183" t="s">
        <v>425</v>
      </c>
      <c r="K123" s="183" t="s">
        <v>426</v>
      </c>
      <c r="N123" s="177"/>
    </row>
    <row r="124" ht="15.75" customHeight="1">
      <c r="A124" s="19" t="s">
        <v>427</v>
      </c>
      <c r="B124" s="180" t="str">
        <f t="shared" si="1"/>
        <v>5</v>
      </c>
      <c r="C124" s="180" t="str">
        <f t="shared" si="2"/>
        <v>Talon Gates of Madara</v>
      </c>
      <c r="D124" s="180" t="str">
        <f t="shared" si="13"/>
        <v>Modern Horizons 3 Commander</v>
      </c>
      <c r="E124" s="180" t="str">
        <f t="shared" si="4"/>
        <v>M3C</v>
      </c>
      <c r="H124" s="181"/>
      <c r="I124" s="182"/>
      <c r="J124" s="183" t="s">
        <v>428</v>
      </c>
      <c r="K124" s="183" t="s">
        <v>429</v>
      </c>
      <c r="N124" s="177"/>
    </row>
    <row r="125" ht="15.75" customHeight="1">
      <c r="A125" s="19" t="s">
        <v>430</v>
      </c>
      <c r="B125" s="180" t="str">
        <f t="shared" si="1"/>
        <v>1</v>
      </c>
      <c r="C125" s="180" t="str">
        <f t="shared" si="2"/>
        <v>Kira, Great Glass-Spinner</v>
      </c>
      <c r="D125" s="180" t="str">
        <f t="shared" si="13"/>
        <v>Modern Masters Anthology</v>
      </c>
      <c r="E125" s="180" t="str">
        <f t="shared" si="4"/>
        <v>MMA</v>
      </c>
      <c r="H125" s="181"/>
      <c r="I125" s="182"/>
      <c r="J125" s="183" t="s">
        <v>431</v>
      </c>
      <c r="K125" s="183" t="s">
        <v>432</v>
      </c>
      <c r="N125" s="177"/>
    </row>
    <row r="126" ht="15.75" customHeight="1">
      <c r="A126" s="19" t="s">
        <v>433</v>
      </c>
      <c r="B126" s="180" t="str">
        <f t="shared" si="1"/>
        <v>1</v>
      </c>
      <c r="C126" s="180" t="str">
        <f t="shared" si="2"/>
        <v>Currency Converter</v>
      </c>
      <c r="D126" s="180" t="str">
        <f t="shared" si="13"/>
        <v>New Capenna Commander</v>
      </c>
      <c r="E126" s="180" t="str">
        <f t="shared" si="4"/>
        <v>NCC</v>
      </c>
      <c r="H126" s="181"/>
      <c r="I126" s="182"/>
      <c r="J126" s="183" t="s">
        <v>434</v>
      </c>
      <c r="K126" s="183" t="s">
        <v>435</v>
      </c>
      <c r="N126" s="177"/>
    </row>
    <row r="127" ht="15.75" customHeight="1">
      <c r="A127" s="19" t="s">
        <v>436</v>
      </c>
      <c r="B127" s="180" t="str">
        <f t="shared" si="1"/>
        <v>1</v>
      </c>
      <c r="C127" s="180" t="str">
        <f t="shared" si="2"/>
        <v>Defense Grid</v>
      </c>
      <c r="D127" s="180" t="str">
        <f t="shared" si="13"/>
        <v>Ninth Edition</v>
      </c>
      <c r="E127" s="180" t="str">
        <f t="shared" si="4"/>
        <v>9ED</v>
      </c>
      <c r="H127" s="181"/>
      <c r="I127" s="182"/>
      <c r="J127" s="183" t="s">
        <v>437</v>
      </c>
      <c r="K127" s="183" t="s">
        <v>438</v>
      </c>
      <c r="N127" s="177"/>
    </row>
    <row r="128" ht="15.75" customHeight="1">
      <c r="A128" s="19" t="s">
        <v>439</v>
      </c>
      <c r="B128" s="180" t="str">
        <f t="shared" si="1"/>
        <v>2</v>
      </c>
      <c r="C128" s="180" t="str">
        <f t="shared" si="2"/>
        <v>Aven Interrupter</v>
      </c>
      <c r="D128" s="180" t="str">
        <f t="shared" si="13"/>
        <v>Outlaws of Thunder Junction</v>
      </c>
      <c r="E128" s="180" t="str">
        <f t="shared" si="4"/>
        <v>OTJ</v>
      </c>
      <c r="H128" s="181"/>
      <c r="I128" s="182"/>
      <c r="J128" s="183" t="s">
        <v>440</v>
      </c>
      <c r="K128" s="183" t="s">
        <v>441</v>
      </c>
      <c r="N128" s="177"/>
    </row>
    <row r="129" ht="15.75" customHeight="1">
      <c r="A129" s="19" t="s">
        <v>442</v>
      </c>
      <c r="B129" s="180" t="str">
        <f t="shared" si="1"/>
        <v>1</v>
      </c>
      <c r="C129" s="180" t="str">
        <f t="shared" si="2"/>
        <v>Eroded Canyon</v>
      </c>
      <c r="D129" s="180" t="str">
        <f t="shared" si="13"/>
        <v>Outlaws of Thunder Junction</v>
      </c>
      <c r="E129" s="180" t="str">
        <f t="shared" si="4"/>
        <v>OTJ</v>
      </c>
      <c r="H129" s="181"/>
      <c r="I129" s="182"/>
      <c r="J129" s="183" t="s">
        <v>443</v>
      </c>
      <c r="K129" s="183" t="s">
        <v>444</v>
      </c>
      <c r="N129" s="177"/>
    </row>
    <row r="130" ht="15.75" customHeight="1">
      <c r="A130" s="19" t="s">
        <v>445</v>
      </c>
      <c r="B130" s="180" t="str">
        <f t="shared" si="1"/>
        <v>9</v>
      </c>
      <c r="C130" s="180" t="str">
        <f t="shared" si="2"/>
        <v>Final Showdown</v>
      </c>
      <c r="D130" s="180" t="str">
        <f t="shared" si="13"/>
        <v>Outlaws of Thunder Junction</v>
      </c>
      <c r="E130" s="180" t="str">
        <f t="shared" si="4"/>
        <v>OTJ</v>
      </c>
      <c r="H130" s="181"/>
      <c r="I130" s="182"/>
      <c r="J130" s="183" t="s">
        <v>446</v>
      </c>
      <c r="K130" s="183" t="s">
        <v>447</v>
      </c>
      <c r="N130" s="177"/>
    </row>
    <row r="131" ht="15.75" customHeight="1">
      <c r="A131" s="19" t="s">
        <v>448</v>
      </c>
      <c r="B131" s="180" t="str">
        <f t="shared" si="1"/>
        <v>1</v>
      </c>
      <c r="C131" s="180" t="str">
        <f t="shared" si="2"/>
        <v>Getaway Glamer</v>
      </c>
      <c r="D131" s="180" t="str">
        <f t="shared" si="13"/>
        <v>Outlaws of Thunder Junction</v>
      </c>
      <c r="E131" s="180" t="str">
        <f t="shared" si="4"/>
        <v>OTJ</v>
      </c>
      <c r="H131" s="181"/>
      <c r="I131" s="182"/>
      <c r="J131" s="183" t="s">
        <v>449</v>
      </c>
      <c r="K131" s="183" t="s">
        <v>450</v>
      </c>
      <c r="N131" s="177"/>
    </row>
    <row r="132" ht="15.75" customHeight="1">
      <c r="A132" s="19" t="s">
        <v>451</v>
      </c>
      <c r="B132" s="180" t="str">
        <f t="shared" si="1"/>
        <v>1</v>
      </c>
      <c r="C132" s="180" t="str">
        <f t="shared" si="2"/>
        <v>Kambal, Profiteering Mayor</v>
      </c>
      <c r="D132" s="180" t="str">
        <f t="shared" si="13"/>
        <v>Outlaws of Thunder Junction</v>
      </c>
      <c r="E132" s="180" t="str">
        <f t="shared" si="4"/>
        <v>OTJ</v>
      </c>
      <c r="H132" s="181"/>
      <c r="I132" s="182"/>
      <c r="J132" s="183" t="s">
        <v>452</v>
      </c>
      <c r="K132" s="183" t="s">
        <v>453</v>
      </c>
      <c r="N132" s="177"/>
    </row>
    <row r="133" ht="15.75" customHeight="1">
      <c r="A133" s="19" t="s">
        <v>454</v>
      </c>
      <c r="B133" s="180" t="str">
        <f t="shared" si="1"/>
        <v>1</v>
      </c>
      <c r="C133" s="180" t="str">
        <f t="shared" si="2"/>
        <v>Magda, the Hoardmaster</v>
      </c>
      <c r="D133" s="180" t="str">
        <f t="shared" si="13"/>
        <v>Outlaws of Thunder Junction</v>
      </c>
      <c r="E133" s="180" t="str">
        <f t="shared" si="4"/>
        <v>OTJ</v>
      </c>
      <c r="H133" s="181"/>
      <c r="I133" s="182"/>
      <c r="J133" s="183" t="s">
        <v>455</v>
      </c>
      <c r="K133" s="183" t="s">
        <v>456</v>
      </c>
      <c r="N133" s="177"/>
    </row>
    <row r="134" ht="15.75" customHeight="1">
      <c r="A134" s="19" t="s">
        <v>457</v>
      </c>
      <c r="B134" s="180" t="str">
        <f t="shared" si="1"/>
        <v>1</v>
      </c>
      <c r="C134" s="180" t="str">
        <f t="shared" si="2"/>
        <v>Metamorphic Blast</v>
      </c>
      <c r="D134" s="180" t="str">
        <f t="shared" si="13"/>
        <v>Outlaws of Thunder Junction</v>
      </c>
      <c r="E134" s="180" t="str">
        <f t="shared" si="4"/>
        <v>OTJ</v>
      </c>
      <c r="H134" s="181"/>
      <c r="I134" s="182"/>
      <c r="J134" s="183" t="s">
        <v>458</v>
      </c>
      <c r="K134" s="183" t="s">
        <v>459</v>
      </c>
      <c r="N134" s="177"/>
    </row>
    <row r="135" ht="15.75" customHeight="1">
      <c r="A135" s="19" t="s">
        <v>460</v>
      </c>
      <c r="B135" s="180" t="str">
        <f t="shared" si="1"/>
        <v>1</v>
      </c>
      <c r="C135" s="180" t="str">
        <f t="shared" si="2"/>
        <v>Smuggler's Surprise</v>
      </c>
      <c r="D135" s="180" t="str">
        <f t="shared" si="13"/>
        <v>Outlaws of Thunder Junction</v>
      </c>
      <c r="E135" s="180" t="str">
        <f t="shared" si="4"/>
        <v>OTJ</v>
      </c>
      <c r="H135" s="181"/>
      <c r="I135" s="182"/>
      <c r="J135" s="183" t="s">
        <v>461</v>
      </c>
      <c r="K135" s="183" t="s">
        <v>462</v>
      </c>
      <c r="N135" s="177"/>
    </row>
    <row r="136" ht="15.75" customHeight="1">
      <c r="A136" s="19" t="s">
        <v>463</v>
      </c>
      <c r="B136" s="180" t="str">
        <f t="shared" si="1"/>
        <v>1</v>
      </c>
      <c r="C136" s="180" t="str">
        <f t="shared" si="2"/>
        <v>Three Steps Ahead</v>
      </c>
      <c r="D136" s="180" t="str">
        <f t="shared" si="13"/>
        <v>Outlaws of Thunder Junction</v>
      </c>
      <c r="E136" s="180" t="str">
        <f t="shared" si="4"/>
        <v>OTJ</v>
      </c>
      <c r="H136" s="181"/>
      <c r="I136" s="182"/>
      <c r="J136" s="183" t="s">
        <v>464</v>
      </c>
      <c r="K136" s="183" t="s">
        <v>465</v>
      </c>
      <c r="N136" s="177"/>
    </row>
    <row r="137" ht="15.75" customHeight="1">
      <c r="A137" s="19" t="s">
        <v>466</v>
      </c>
      <c r="B137" s="180" t="str">
        <f t="shared" si="1"/>
        <v>1</v>
      </c>
      <c r="C137" s="180" t="str">
        <f t="shared" si="2"/>
        <v>Stella Lee, Wild Card</v>
      </c>
      <c r="D137" s="180" t="str">
        <f t="shared" si="13"/>
        <v>Outlaws of Thunder Junction Commander</v>
      </c>
      <c r="E137" s="180" t="str">
        <f t="shared" si="4"/>
        <v>OTC</v>
      </c>
      <c r="H137" s="181"/>
      <c r="I137" s="182"/>
      <c r="J137" s="183" t="s">
        <v>467</v>
      </c>
      <c r="K137" s="183" t="s">
        <v>468</v>
      </c>
      <c r="N137" s="177"/>
    </row>
    <row r="138" ht="15.75" customHeight="1">
      <c r="A138" s="19" t="s">
        <v>469</v>
      </c>
      <c r="B138" s="180" t="str">
        <f t="shared" si="1"/>
        <v>1</v>
      </c>
      <c r="C138" s="180" t="str">
        <f t="shared" si="2"/>
        <v>Young Pyromancer</v>
      </c>
      <c r="D138" s="180" t="str">
        <f t="shared" si="13"/>
        <v>Outlaws of Thunder Junction Commander</v>
      </c>
      <c r="E138" s="180" t="str">
        <f t="shared" si="4"/>
        <v>OTC</v>
      </c>
      <c r="H138" s="181"/>
      <c r="I138" s="182"/>
      <c r="J138" s="183" t="s">
        <v>470</v>
      </c>
      <c r="K138" s="183" t="s">
        <v>471</v>
      </c>
      <c r="N138" s="177"/>
    </row>
    <row r="139" ht="15.75" customHeight="1">
      <c r="A139" s="19" t="s">
        <v>472</v>
      </c>
      <c r="B139" s="180" t="str">
        <f t="shared" si="1"/>
        <v>1</v>
      </c>
      <c r="C139" s="180" t="str">
        <f t="shared" si="2"/>
        <v>Temple Garden</v>
      </c>
      <c r="D139" s="180" t="str">
        <f t="shared" si="13"/>
        <v>Ravnica Remastered</v>
      </c>
      <c r="E139" s="180" t="str">
        <f t="shared" si="4"/>
        <v>RVR</v>
      </c>
      <c r="H139" s="181"/>
      <c r="I139" s="182"/>
      <c r="J139" s="183" t="s">
        <v>473</v>
      </c>
      <c r="K139" s="183" t="s">
        <v>474</v>
      </c>
      <c r="N139" s="177"/>
    </row>
    <row r="140" ht="15.75" customHeight="1">
      <c r="A140" s="19" t="s">
        <v>475</v>
      </c>
      <c r="B140" s="180" t="str">
        <f t="shared" si="1"/>
        <v>5</v>
      </c>
      <c r="C140" s="180" t="str">
        <f t="shared" si="2"/>
        <v>Galadriel's Dismissal</v>
      </c>
      <c r="D140" s="180" t="str">
        <f t="shared" si="13"/>
        <v>Tales of Middle-earth Commander</v>
      </c>
      <c r="E140" s="180" t="str">
        <f t="shared" si="4"/>
        <v>LTC</v>
      </c>
      <c r="H140" s="181"/>
      <c r="I140" s="182"/>
      <c r="J140" s="183" t="s">
        <v>476</v>
      </c>
      <c r="K140" s="183" t="s">
        <v>477</v>
      </c>
      <c r="N140" s="177"/>
    </row>
    <row r="141" ht="15.75" customHeight="1">
      <c r="A141" s="19" t="s">
        <v>478</v>
      </c>
      <c r="B141" s="180" t="str">
        <f t="shared" si="1"/>
        <v>1</v>
      </c>
      <c r="C141" s="180" t="str">
        <f t="shared" si="2"/>
        <v>Minas Morgul, Dark Fortress</v>
      </c>
      <c r="D141" s="180" t="str">
        <f t="shared" si="13"/>
        <v>Tales of Middle-earth Commander</v>
      </c>
      <c r="E141" s="180" t="str">
        <f t="shared" si="4"/>
        <v>LTC</v>
      </c>
      <c r="H141" s="181"/>
      <c r="I141" s="182"/>
      <c r="J141" s="183" t="s">
        <v>479</v>
      </c>
      <c r="K141" s="183" t="s">
        <v>480</v>
      </c>
      <c r="N141" s="177"/>
    </row>
    <row r="142" ht="15.75" customHeight="1">
      <c r="A142" s="19" t="s">
        <v>481</v>
      </c>
      <c r="B142" s="180" t="str">
        <f t="shared" si="1"/>
        <v>1</v>
      </c>
      <c r="C142" s="180" t="str">
        <f t="shared" si="2"/>
        <v>Treebeard, Gracious Host</v>
      </c>
      <c r="D142" s="180" t="str">
        <f t="shared" si="13"/>
        <v>Tales of Middle-earth Commander</v>
      </c>
      <c r="E142" s="180" t="str">
        <f t="shared" si="4"/>
        <v>LTC</v>
      </c>
      <c r="H142" s="181"/>
      <c r="I142" s="182"/>
      <c r="J142" s="183" t="s">
        <v>482</v>
      </c>
      <c r="K142" s="183" t="s">
        <v>483</v>
      </c>
      <c r="N142" s="177"/>
    </row>
    <row r="143" ht="15.75" customHeight="1">
      <c r="A143" s="19" t="s">
        <v>484</v>
      </c>
      <c r="B143" s="180" t="str">
        <f t="shared" si="1"/>
        <v>1</v>
      </c>
      <c r="C143" s="180" t="str">
        <f t="shared" si="2"/>
        <v>Fomori Vault</v>
      </c>
      <c r="D143" s="180" t="str">
        <f t="shared" si="13"/>
        <v>The Big Score</v>
      </c>
      <c r="E143" s="180" t="str">
        <f t="shared" si="4"/>
        <v>BIG</v>
      </c>
      <c r="H143" s="181"/>
      <c r="I143" s="182"/>
      <c r="J143" s="183" t="s">
        <v>485</v>
      </c>
      <c r="K143" s="183" t="s">
        <v>486</v>
      </c>
      <c r="N143" s="177"/>
    </row>
    <row r="144" ht="15.75" customHeight="1">
      <c r="A144" s="19" t="s">
        <v>487</v>
      </c>
      <c r="B144" s="180" t="str">
        <f t="shared" si="1"/>
        <v>1</v>
      </c>
      <c r="C144" s="180" t="str">
        <f t="shared" si="2"/>
        <v>Loot, the Key to Everything</v>
      </c>
      <c r="D144" s="180" t="str">
        <f t="shared" si="13"/>
        <v>The Big Score</v>
      </c>
      <c r="E144" s="180" t="str">
        <f t="shared" si="4"/>
        <v>BIG</v>
      </c>
      <c r="H144" s="181"/>
      <c r="I144" s="182"/>
      <c r="J144" s="183" t="s">
        <v>488</v>
      </c>
      <c r="K144" s="183" t="s">
        <v>489</v>
      </c>
      <c r="N144" s="177"/>
    </row>
    <row r="145" ht="15.75" customHeight="1">
      <c r="A145" s="19" t="s">
        <v>490</v>
      </c>
      <c r="B145" s="180" t="str">
        <f t="shared" si="1"/>
        <v>1</v>
      </c>
      <c r="C145" s="180" t="str">
        <f t="shared" si="2"/>
        <v>Lost Jitte</v>
      </c>
      <c r="D145" s="180" t="str">
        <f t="shared" si="13"/>
        <v>The Big Score</v>
      </c>
      <c r="E145" s="180" t="str">
        <f t="shared" si="4"/>
        <v>BIG</v>
      </c>
      <c r="H145" s="181"/>
      <c r="I145" s="182"/>
      <c r="J145" s="183" t="s">
        <v>491</v>
      </c>
      <c r="K145" s="183" t="s">
        <v>492</v>
      </c>
      <c r="N145" s="177"/>
    </row>
    <row r="146" ht="15.75" customHeight="1">
      <c r="A146" s="19" t="s">
        <v>493</v>
      </c>
      <c r="B146" s="180" t="str">
        <f t="shared" si="1"/>
        <v>1</v>
      </c>
      <c r="C146" s="180" t="str">
        <f t="shared" si="2"/>
        <v>Lotus Ring</v>
      </c>
      <c r="D146" s="180" t="str">
        <f t="shared" si="13"/>
        <v>The Big Score</v>
      </c>
      <c r="E146" s="180" t="str">
        <f t="shared" si="4"/>
        <v>BIG</v>
      </c>
      <c r="H146" s="181"/>
      <c r="I146" s="182"/>
      <c r="J146" s="183" t="s">
        <v>494</v>
      </c>
      <c r="K146" s="183" t="s">
        <v>495</v>
      </c>
      <c r="N146" s="177"/>
    </row>
    <row r="147" ht="15.75" customHeight="1">
      <c r="A147" s="19" t="s">
        <v>496</v>
      </c>
      <c r="B147" s="180" t="str">
        <f t="shared" si="1"/>
        <v>2</v>
      </c>
      <c r="C147" s="180" t="str">
        <f t="shared" si="2"/>
        <v>Tarnation Vista</v>
      </c>
      <c r="D147" s="180" t="str">
        <f t="shared" si="13"/>
        <v>The Big Score</v>
      </c>
      <c r="E147" s="180" t="str">
        <f t="shared" si="4"/>
        <v>BIG</v>
      </c>
      <c r="H147" s="181"/>
      <c r="I147" s="182"/>
      <c r="J147" s="183" t="s">
        <v>497</v>
      </c>
      <c r="K147" s="183" t="s">
        <v>498</v>
      </c>
      <c r="N147" s="177"/>
    </row>
    <row r="148" ht="15.75" customHeight="1">
      <c r="A148" s="19" t="s">
        <v>499</v>
      </c>
      <c r="B148" s="180" t="str">
        <f t="shared" si="1"/>
        <v>1</v>
      </c>
      <c r="C148" s="180" t="str">
        <f t="shared" si="2"/>
        <v>Worldwalker Helm</v>
      </c>
      <c r="D148" s="180" t="str">
        <f t="shared" si="13"/>
        <v>The Big Score</v>
      </c>
      <c r="E148" s="180" t="str">
        <f t="shared" si="4"/>
        <v>BIG</v>
      </c>
      <c r="H148" s="181"/>
      <c r="I148" s="182"/>
      <c r="J148" s="183" t="s">
        <v>500</v>
      </c>
      <c r="K148" s="183" t="s">
        <v>501</v>
      </c>
      <c r="N148" s="177"/>
    </row>
    <row r="149" ht="15.75" customHeight="1">
      <c r="A149" s="19" t="s">
        <v>502</v>
      </c>
      <c r="B149" s="180" t="str">
        <f t="shared" si="1"/>
        <v>1</v>
      </c>
      <c r="C149" s="180" t="str">
        <f t="shared" si="2"/>
        <v>Aclazotz, Deepest Betrayal // Temple of the Dead</v>
      </c>
      <c r="D149" s="180" t="str">
        <f t="shared" si="13"/>
        <v>The Lost Caverns of Ixalan</v>
      </c>
      <c r="E149" s="180" t="str">
        <f t="shared" si="4"/>
        <v>LCI</v>
      </c>
      <c r="H149" s="181"/>
      <c r="I149" s="182"/>
      <c r="J149" s="183" t="s">
        <v>503</v>
      </c>
      <c r="K149" s="183" t="s">
        <v>504</v>
      </c>
      <c r="N149" s="177"/>
    </row>
    <row r="150" ht="15.75" customHeight="1">
      <c r="A150" s="19" t="s">
        <v>505</v>
      </c>
      <c r="B150" s="180" t="str">
        <f t="shared" si="1"/>
        <v>1</v>
      </c>
      <c r="C150" s="180" t="str">
        <f t="shared" si="2"/>
        <v>Amalia Benavides Aguirre</v>
      </c>
      <c r="D150" s="180" t="str">
        <f t="shared" si="13"/>
        <v>The Lost Caverns of Ixalan</v>
      </c>
      <c r="E150" s="180" t="str">
        <f t="shared" si="4"/>
        <v>LCI</v>
      </c>
      <c r="H150" s="181"/>
      <c r="I150" s="182"/>
      <c r="J150" s="183" t="s">
        <v>506</v>
      </c>
      <c r="K150" s="183" t="s">
        <v>507</v>
      </c>
      <c r="N150" s="177"/>
    </row>
    <row r="151" ht="15.75" customHeight="1">
      <c r="A151" s="19" t="s">
        <v>508</v>
      </c>
      <c r="B151" s="180" t="str">
        <f t="shared" si="1"/>
        <v>1</v>
      </c>
      <c r="C151" s="180" t="str">
        <f t="shared" si="2"/>
        <v>Chimil, the Inner Sun</v>
      </c>
      <c r="D151" s="180" t="str">
        <f t="shared" si="13"/>
        <v>The Lost Caverns of Ixalan</v>
      </c>
      <c r="E151" s="180" t="str">
        <f t="shared" si="4"/>
        <v>LCI</v>
      </c>
      <c r="H151" s="181"/>
      <c r="I151" s="182"/>
      <c r="J151" s="183" t="s">
        <v>509</v>
      </c>
      <c r="K151" s="183" t="s">
        <v>510</v>
      </c>
      <c r="N151" s="177"/>
    </row>
    <row r="152" ht="15.75" customHeight="1">
      <c r="A152" s="19" t="s">
        <v>511</v>
      </c>
      <c r="B152" s="180" t="str">
        <f t="shared" si="1"/>
        <v>1</v>
      </c>
      <c r="C152" s="180" t="str">
        <f t="shared" si="2"/>
        <v>Matzalantli, the Great Door // The Core</v>
      </c>
      <c r="D152" s="180" t="str">
        <f t="shared" si="13"/>
        <v>The Lost Caverns of Ixalan</v>
      </c>
      <c r="E152" s="180" t="str">
        <f t="shared" si="4"/>
        <v>LCI</v>
      </c>
      <c r="H152" s="181"/>
      <c r="I152" s="182"/>
      <c r="J152" s="183" t="s">
        <v>512</v>
      </c>
      <c r="K152" s="183" t="s">
        <v>513</v>
      </c>
      <c r="N152" s="177"/>
    </row>
    <row r="153" ht="15.75" customHeight="1">
      <c r="A153" s="19" t="s">
        <v>514</v>
      </c>
      <c r="B153" s="180" t="str">
        <f t="shared" si="1"/>
        <v>1</v>
      </c>
      <c r="C153" s="180" t="str">
        <f t="shared" si="2"/>
        <v>Scytheclaw Raptor</v>
      </c>
      <c r="D153" s="180" t="str">
        <f t="shared" si="13"/>
        <v>The Lost Caverns of Ixalan</v>
      </c>
      <c r="E153" s="180" t="str">
        <f t="shared" si="4"/>
        <v>LCI</v>
      </c>
      <c r="H153" s="181"/>
      <c r="I153" s="182"/>
      <c r="J153" s="183" t="s">
        <v>515</v>
      </c>
      <c r="K153" s="183" t="s">
        <v>516</v>
      </c>
      <c r="N153" s="177"/>
    </row>
    <row r="154" ht="15.75" customHeight="1">
      <c r="A154" s="19" t="s">
        <v>517</v>
      </c>
      <c r="B154" s="180" t="str">
        <f t="shared" si="1"/>
        <v>1</v>
      </c>
      <c r="C154" s="180" t="str">
        <f t="shared" si="2"/>
        <v>Tectonic Hazard</v>
      </c>
      <c r="D154" s="180" t="str">
        <f t="shared" si="13"/>
        <v>The Lost Caverns of Ixalan</v>
      </c>
      <c r="E154" s="180" t="str">
        <f t="shared" si="4"/>
        <v>LCI</v>
      </c>
      <c r="H154" s="181"/>
      <c r="I154" s="182"/>
      <c r="J154" s="183" t="s">
        <v>518</v>
      </c>
      <c r="K154" s="183" t="s">
        <v>519</v>
      </c>
      <c r="N154" s="177"/>
    </row>
    <row r="155" ht="15.75" customHeight="1">
      <c r="A155" s="19" t="s">
        <v>520</v>
      </c>
      <c r="B155" s="180" t="str">
        <f t="shared" si="1"/>
        <v>1</v>
      </c>
      <c r="C155" s="180" t="str">
        <f t="shared" si="2"/>
        <v>Carmen, Cruel Skymarcher</v>
      </c>
      <c r="D155" s="180" t="str">
        <f t="shared" si="13"/>
        <v>The Lost Caverns of Ixalan Commander</v>
      </c>
      <c r="E155" s="180" t="str">
        <f t="shared" si="4"/>
        <v>LCC</v>
      </c>
      <c r="H155" s="181"/>
      <c r="I155" s="182"/>
      <c r="J155" s="183" t="s">
        <v>521</v>
      </c>
      <c r="K155" s="183" t="s">
        <v>522</v>
      </c>
      <c r="N155" s="177"/>
    </row>
    <row r="156" ht="15.75" customHeight="1">
      <c r="A156" s="19" t="s">
        <v>523</v>
      </c>
      <c r="B156" s="180" t="str">
        <f t="shared" si="1"/>
        <v>3</v>
      </c>
      <c r="C156" s="180" t="str">
        <f t="shared" si="2"/>
        <v>Charismatic Conqueror</v>
      </c>
      <c r="D156" s="180" t="str">
        <f t="shared" si="13"/>
        <v>The Lost Caverns of Ixalan Commander</v>
      </c>
      <c r="E156" s="180" t="str">
        <f t="shared" si="4"/>
        <v>LCC</v>
      </c>
      <c r="H156" s="181"/>
      <c r="I156" s="182"/>
      <c r="J156" s="183" t="s">
        <v>524</v>
      </c>
      <c r="K156" s="183" t="s">
        <v>525</v>
      </c>
      <c r="N156" s="177"/>
    </row>
    <row r="157" ht="15.75" customHeight="1">
      <c r="A157" s="19" t="s">
        <v>526</v>
      </c>
      <c r="B157" s="180" t="str">
        <f t="shared" si="1"/>
        <v>1</v>
      </c>
      <c r="C157" s="180" t="str">
        <f t="shared" si="2"/>
        <v>Illustrious Wanderglyph</v>
      </c>
      <c r="D157" s="180" t="str">
        <f t="shared" si="13"/>
        <v>The Lost Caverns of Ixalan Commander</v>
      </c>
      <c r="E157" s="180" t="str">
        <f t="shared" si="4"/>
        <v>LCC</v>
      </c>
      <c r="H157" s="181"/>
      <c r="I157" s="182"/>
      <c r="J157" s="183" t="s">
        <v>527</v>
      </c>
      <c r="K157" s="183" t="s">
        <v>528</v>
      </c>
      <c r="N157" s="177"/>
    </row>
    <row r="158" ht="15.75" customHeight="1">
      <c r="A158" s="19" t="s">
        <v>529</v>
      </c>
      <c r="B158" s="180" t="str">
        <f t="shared" si="1"/>
        <v>1</v>
      </c>
      <c r="C158" s="180" t="str">
        <f t="shared" si="2"/>
        <v>Norin the Wary</v>
      </c>
      <c r="D158" s="180" t="str">
        <f t="shared" si="13"/>
        <v>Time Spiral</v>
      </c>
      <c r="E158" s="180" t="str">
        <f t="shared" si="4"/>
        <v>TSP</v>
      </c>
      <c r="H158" s="181"/>
      <c r="I158" s="182"/>
      <c r="J158" s="183" t="s">
        <v>530</v>
      </c>
      <c r="K158" s="183" t="s">
        <v>531</v>
      </c>
      <c r="N158" s="177"/>
    </row>
    <row r="159" ht="15.75" customHeight="1">
      <c r="A159" s="19" t="s">
        <v>532</v>
      </c>
      <c r="B159" s="180" t="str">
        <f t="shared" si="1"/>
        <v>1</v>
      </c>
      <c r="C159" s="180" t="str">
        <f t="shared" si="2"/>
        <v>Big Game Hunter</v>
      </c>
      <c r="D159" s="180" t="str">
        <f t="shared" si="13"/>
        <v>Time Spiral Remastered</v>
      </c>
      <c r="E159" s="180" t="str">
        <f t="shared" si="4"/>
        <v>TSR</v>
      </c>
      <c r="H159" s="181"/>
      <c r="I159" s="182"/>
      <c r="J159" s="183" t="s">
        <v>533</v>
      </c>
      <c r="K159" s="183" t="s">
        <v>534</v>
      </c>
      <c r="N159" s="177"/>
    </row>
    <row r="160" ht="15.75" customHeight="1">
      <c r="A160" s="19" t="s">
        <v>535</v>
      </c>
      <c r="B160" s="180" t="str">
        <f t="shared" si="1"/>
        <v>1</v>
      </c>
      <c r="C160" s="180" t="str">
        <f t="shared" si="2"/>
        <v>Visions of Beyond</v>
      </c>
      <c r="D160" s="180" t="str">
        <f t="shared" si="13"/>
        <v>Ultimate Masters</v>
      </c>
      <c r="E160" s="180" t="str">
        <f t="shared" si="4"/>
        <v>UMA</v>
      </c>
      <c r="H160" s="181"/>
      <c r="I160" s="182"/>
      <c r="J160" s="183" t="s">
        <v>536</v>
      </c>
      <c r="K160" s="183" t="s">
        <v>537</v>
      </c>
      <c r="N160" s="177"/>
    </row>
    <row r="161" ht="15.75" customHeight="1">
      <c r="A161" s="19" t="s">
        <v>538</v>
      </c>
      <c r="B161" s="180" t="str">
        <f t="shared" si="1"/>
        <v>1</v>
      </c>
      <c r="C161" s="180" t="str">
        <f t="shared" si="2"/>
        <v>Hylda's Crown of Winter</v>
      </c>
      <c r="D161" s="180" t="str">
        <f t="shared" si="13"/>
        <v>Wilds of Eldraine</v>
      </c>
      <c r="E161" s="180" t="str">
        <f t="shared" si="4"/>
        <v>WOE</v>
      </c>
      <c r="H161" s="181"/>
      <c r="I161" s="182"/>
      <c r="J161" s="183" t="s">
        <v>539</v>
      </c>
      <c r="K161" s="183" t="s">
        <v>540</v>
      </c>
      <c r="N161" s="177"/>
    </row>
    <row r="162" ht="15.75" customHeight="1">
      <c r="A162" s="19" t="s">
        <v>541</v>
      </c>
      <c r="B162" s="180" t="str">
        <f t="shared" si="1"/>
        <v>1</v>
      </c>
      <c r="C162" s="180" t="str">
        <f t="shared" si="2"/>
        <v>Far Wanderings</v>
      </c>
      <c r="D162" s="180" t="str">
        <f t="shared" si="13"/>
        <v>Zendikar: Rising</v>
      </c>
      <c r="E162" s="180" t="str">
        <f t="shared" si="4"/>
        <v>ZNC</v>
      </c>
      <c r="H162" s="181"/>
      <c r="I162" s="182"/>
      <c r="J162" s="183" t="s">
        <v>542</v>
      </c>
      <c r="K162" s="183" t="s">
        <v>543</v>
      </c>
      <c r="N162" s="177"/>
    </row>
    <row r="163" ht="15.75" customHeight="1">
      <c r="B163" s="180" t="str">
        <f t="shared" si="1"/>
        <v/>
      </c>
      <c r="C163" s="180" t="str">
        <f t="shared" si="2"/>
        <v/>
      </c>
      <c r="D163" s="180" t="str">
        <f t="shared" ref="D163:D297" si="15">if(A163="","",VLOOKUP(E163, J:K, 2, FALSE))</f>
        <v/>
      </c>
      <c r="E163" s="180" t="str">
        <f t="shared" si="4"/>
        <v/>
      </c>
      <c r="H163" s="181"/>
      <c r="I163" s="182"/>
      <c r="J163" s="183" t="s">
        <v>544</v>
      </c>
      <c r="K163" s="183" t="s">
        <v>545</v>
      </c>
      <c r="N163" s="177"/>
    </row>
    <row r="164" ht="15.75" customHeight="1">
      <c r="B164" s="180" t="str">
        <f t="shared" si="1"/>
        <v/>
      </c>
      <c r="C164" s="180" t="str">
        <f t="shared" si="2"/>
        <v/>
      </c>
      <c r="D164" s="180" t="str">
        <f t="shared" si="15"/>
        <v/>
      </c>
      <c r="E164" s="180" t="str">
        <f t="shared" si="4"/>
        <v/>
      </c>
      <c r="H164" s="181"/>
      <c r="I164" s="182"/>
      <c r="J164" s="183" t="s">
        <v>546</v>
      </c>
      <c r="K164" s="183" t="s">
        <v>547</v>
      </c>
      <c r="N164" s="177"/>
    </row>
    <row r="165" ht="15.75" customHeight="1">
      <c r="B165" s="180" t="str">
        <f t="shared" si="1"/>
        <v/>
      </c>
      <c r="C165" s="180" t="str">
        <f t="shared" si="2"/>
        <v/>
      </c>
      <c r="D165" s="180" t="str">
        <f t="shared" si="15"/>
        <v/>
      </c>
      <c r="E165" s="180" t="str">
        <f t="shared" si="4"/>
        <v/>
      </c>
      <c r="H165" s="181"/>
      <c r="I165" s="182"/>
      <c r="J165" s="183" t="s">
        <v>548</v>
      </c>
      <c r="K165" s="183" t="s">
        <v>549</v>
      </c>
      <c r="N165" s="177"/>
    </row>
    <row r="166" ht="15.75" customHeight="1">
      <c r="B166" s="180" t="str">
        <f t="shared" si="1"/>
        <v/>
      </c>
      <c r="C166" s="180" t="str">
        <f t="shared" si="2"/>
        <v/>
      </c>
      <c r="D166" s="180" t="str">
        <f t="shared" si="15"/>
        <v/>
      </c>
      <c r="E166" s="180" t="str">
        <f t="shared" si="4"/>
        <v/>
      </c>
      <c r="H166" s="181"/>
      <c r="I166" s="182"/>
      <c r="J166" s="183" t="s">
        <v>550</v>
      </c>
      <c r="K166" s="183" t="s">
        <v>551</v>
      </c>
      <c r="N166" s="177"/>
    </row>
    <row r="167" ht="15.75" customHeight="1">
      <c r="B167" s="180" t="str">
        <f t="shared" si="1"/>
        <v/>
      </c>
      <c r="C167" s="180" t="str">
        <f t="shared" si="2"/>
        <v/>
      </c>
      <c r="D167" s="180" t="str">
        <f t="shared" si="15"/>
        <v/>
      </c>
      <c r="E167" s="180" t="str">
        <f t="shared" si="4"/>
        <v/>
      </c>
      <c r="H167" s="181"/>
      <c r="I167" s="182"/>
      <c r="J167" s="183" t="s">
        <v>552</v>
      </c>
      <c r="K167" s="183" t="s">
        <v>553</v>
      </c>
      <c r="N167" s="177"/>
    </row>
    <row r="168" ht="15.75" customHeight="1">
      <c r="B168" s="180" t="str">
        <f t="shared" si="1"/>
        <v/>
      </c>
      <c r="C168" s="180" t="str">
        <f t="shared" si="2"/>
        <v/>
      </c>
      <c r="D168" s="180" t="str">
        <f t="shared" si="15"/>
        <v/>
      </c>
      <c r="E168" s="180" t="str">
        <f t="shared" si="4"/>
        <v/>
      </c>
      <c r="H168" s="181"/>
      <c r="I168" s="182"/>
      <c r="J168" s="183" t="s">
        <v>554</v>
      </c>
      <c r="K168" s="183" t="s">
        <v>555</v>
      </c>
      <c r="N168" s="177"/>
    </row>
    <row r="169" ht="15.75" customHeight="1">
      <c r="B169" s="180" t="str">
        <f t="shared" si="1"/>
        <v/>
      </c>
      <c r="C169" s="180" t="str">
        <f t="shared" si="2"/>
        <v/>
      </c>
      <c r="D169" s="180" t="str">
        <f t="shared" si="15"/>
        <v/>
      </c>
      <c r="E169" s="180" t="str">
        <f t="shared" si="4"/>
        <v/>
      </c>
      <c r="H169" s="181"/>
      <c r="I169" s="182"/>
      <c r="J169" s="183" t="s">
        <v>556</v>
      </c>
      <c r="K169" s="183" t="s">
        <v>557</v>
      </c>
      <c r="N169" s="177"/>
    </row>
    <row r="170" ht="15.75" customHeight="1">
      <c r="B170" s="180" t="str">
        <f t="shared" si="1"/>
        <v/>
      </c>
      <c r="C170" s="180" t="str">
        <f t="shared" si="2"/>
        <v/>
      </c>
      <c r="D170" s="180" t="str">
        <f t="shared" si="15"/>
        <v/>
      </c>
      <c r="E170" s="180" t="str">
        <f t="shared" si="4"/>
        <v/>
      </c>
      <c r="H170" s="181"/>
      <c r="I170" s="182"/>
      <c r="J170" s="183" t="s">
        <v>558</v>
      </c>
      <c r="K170" s="183" t="s">
        <v>559</v>
      </c>
      <c r="N170" s="177"/>
    </row>
    <row r="171" ht="15.75" customHeight="1">
      <c r="B171" s="180" t="str">
        <f t="shared" si="1"/>
        <v/>
      </c>
      <c r="C171" s="180" t="str">
        <f t="shared" si="2"/>
        <v/>
      </c>
      <c r="D171" s="180" t="str">
        <f t="shared" si="15"/>
        <v/>
      </c>
      <c r="E171" s="180" t="str">
        <f t="shared" si="4"/>
        <v/>
      </c>
      <c r="H171" s="181"/>
      <c r="I171" s="182"/>
      <c r="J171" s="183" t="s">
        <v>560</v>
      </c>
      <c r="K171" s="183" t="s">
        <v>561</v>
      </c>
      <c r="N171" s="177"/>
    </row>
    <row r="172" ht="15.75" customHeight="1">
      <c r="B172" s="180" t="str">
        <f t="shared" si="1"/>
        <v/>
      </c>
      <c r="C172" s="180" t="str">
        <f t="shared" si="2"/>
        <v/>
      </c>
      <c r="D172" s="180" t="str">
        <f t="shared" si="15"/>
        <v/>
      </c>
      <c r="E172" s="180" t="str">
        <f t="shared" si="4"/>
        <v/>
      </c>
      <c r="H172" s="181"/>
      <c r="I172" s="182"/>
      <c r="J172" s="183" t="s">
        <v>562</v>
      </c>
      <c r="K172" s="183" t="s">
        <v>563</v>
      </c>
      <c r="N172" s="177"/>
    </row>
    <row r="173" ht="15.75" customHeight="1">
      <c r="B173" s="180" t="str">
        <f t="shared" si="1"/>
        <v/>
      </c>
      <c r="C173" s="180" t="str">
        <f t="shared" si="2"/>
        <v/>
      </c>
      <c r="D173" s="180" t="str">
        <f t="shared" si="15"/>
        <v/>
      </c>
      <c r="E173" s="180" t="str">
        <f t="shared" si="4"/>
        <v/>
      </c>
      <c r="H173" s="181"/>
      <c r="I173" s="182"/>
      <c r="J173" s="183" t="s">
        <v>564</v>
      </c>
      <c r="K173" s="183" t="s">
        <v>565</v>
      </c>
      <c r="N173" s="177"/>
    </row>
    <row r="174" ht="15.75" customHeight="1">
      <c r="B174" s="180" t="str">
        <f t="shared" si="1"/>
        <v/>
      </c>
      <c r="C174" s="180" t="str">
        <f t="shared" si="2"/>
        <v/>
      </c>
      <c r="D174" s="180" t="str">
        <f t="shared" si="15"/>
        <v/>
      </c>
      <c r="E174" s="180" t="str">
        <f t="shared" si="4"/>
        <v/>
      </c>
      <c r="H174" s="181"/>
      <c r="I174" s="182"/>
      <c r="J174" s="183" t="s">
        <v>566</v>
      </c>
      <c r="K174" s="183" t="s">
        <v>567</v>
      </c>
      <c r="N174" s="177"/>
    </row>
    <row r="175" ht="15.75" customHeight="1">
      <c r="B175" s="180" t="str">
        <f t="shared" si="1"/>
        <v/>
      </c>
      <c r="C175" s="180" t="str">
        <f t="shared" si="2"/>
        <v/>
      </c>
      <c r="D175" s="180" t="str">
        <f t="shared" si="15"/>
        <v/>
      </c>
      <c r="E175" s="180" t="str">
        <f t="shared" si="4"/>
        <v/>
      </c>
      <c r="H175" s="181"/>
      <c r="I175" s="182"/>
      <c r="J175" s="183" t="s">
        <v>568</v>
      </c>
      <c r="K175" s="183" t="s">
        <v>569</v>
      </c>
      <c r="N175" s="177"/>
    </row>
    <row r="176" ht="15.75" customHeight="1">
      <c r="B176" s="180" t="str">
        <f t="shared" si="1"/>
        <v/>
      </c>
      <c r="C176" s="180" t="str">
        <f t="shared" si="2"/>
        <v/>
      </c>
      <c r="D176" s="180" t="str">
        <f t="shared" si="15"/>
        <v/>
      </c>
      <c r="E176" s="180" t="str">
        <f t="shared" si="4"/>
        <v/>
      </c>
      <c r="H176" s="181"/>
      <c r="I176" s="182"/>
      <c r="J176" s="183" t="s">
        <v>570</v>
      </c>
      <c r="K176" s="183" t="s">
        <v>571</v>
      </c>
      <c r="N176" s="177"/>
    </row>
    <row r="177" ht="15.75" customHeight="1">
      <c r="B177" s="180" t="str">
        <f t="shared" si="1"/>
        <v/>
      </c>
      <c r="C177" s="180" t="str">
        <f t="shared" si="2"/>
        <v/>
      </c>
      <c r="D177" s="180" t="str">
        <f t="shared" si="15"/>
        <v/>
      </c>
      <c r="E177" s="180" t="str">
        <f t="shared" si="4"/>
        <v/>
      </c>
      <c r="H177" s="181"/>
      <c r="I177" s="182"/>
      <c r="J177" s="183" t="s">
        <v>572</v>
      </c>
      <c r="K177" s="183" t="s">
        <v>573</v>
      </c>
      <c r="N177" s="177"/>
    </row>
    <row r="178" ht="15.75" customHeight="1">
      <c r="B178" s="180" t="str">
        <f t="shared" si="1"/>
        <v/>
      </c>
      <c r="C178" s="180" t="str">
        <f t="shared" si="2"/>
        <v/>
      </c>
      <c r="D178" s="180" t="str">
        <f t="shared" si="15"/>
        <v/>
      </c>
      <c r="E178" s="180" t="str">
        <f t="shared" si="4"/>
        <v/>
      </c>
      <c r="H178" s="181"/>
      <c r="I178" s="182"/>
      <c r="J178" s="183" t="s">
        <v>574</v>
      </c>
      <c r="K178" s="183" t="s">
        <v>575</v>
      </c>
      <c r="N178" s="177"/>
    </row>
    <row r="179" ht="15.75" customHeight="1">
      <c r="B179" s="180" t="str">
        <f t="shared" si="1"/>
        <v/>
      </c>
      <c r="C179" s="180" t="str">
        <f t="shared" si="2"/>
        <v/>
      </c>
      <c r="D179" s="180" t="str">
        <f t="shared" si="15"/>
        <v/>
      </c>
      <c r="E179" s="180" t="str">
        <f t="shared" si="4"/>
        <v/>
      </c>
      <c r="H179" s="181"/>
      <c r="I179" s="182"/>
      <c r="J179" s="183" t="s">
        <v>576</v>
      </c>
      <c r="K179" s="183" t="s">
        <v>577</v>
      </c>
      <c r="N179" s="177"/>
    </row>
    <row r="180" ht="15.75" customHeight="1">
      <c r="B180" s="180" t="str">
        <f t="shared" si="1"/>
        <v/>
      </c>
      <c r="C180" s="180" t="str">
        <f t="shared" si="2"/>
        <v/>
      </c>
      <c r="D180" s="180" t="str">
        <f t="shared" si="15"/>
        <v/>
      </c>
      <c r="E180" s="180" t="str">
        <f t="shared" si="4"/>
        <v/>
      </c>
      <c r="H180" s="181"/>
      <c r="I180" s="182"/>
      <c r="J180" s="183" t="s">
        <v>578</v>
      </c>
      <c r="K180" s="183" t="s">
        <v>579</v>
      </c>
      <c r="N180" s="177"/>
    </row>
    <row r="181" ht="15.75" customHeight="1">
      <c r="B181" s="180" t="str">
        <f t="shared" si="1"/>
        <v/>
      </c>
      <c r="C181" s="180" t="str">
        <f t="shared" si="2"/>
        <v/>
      </c>
      <c r="D181" s="180" t="str">
        <f t="shared" si="15"/>
        <v/>
      </c>
      <c r="E181" s="180" t="str">
        <f t="shared" si="4"/>
        <v/>
      </c>
      <c r="H181" s="181"/>
      <c r="I181" s="182"/>
      <c r="J181" s="183" t="s">
        <v>580</v>
      </c>
      <c r="K181" s="183" t="s">
        <v>581</v>
      </c>
      <c r="N181" s="177"/>
    </row>
    <row r="182" ht="15.75" customHeight="1">
      <c r="B182" s="180" t="str">
        <f t="shared" si="1"/>
        <v/>
      </c>
      <c r="C182" s="180" t="str">
        <f t="shared" si="2"/>
        <v/>
      </c>
      <c r="D182" s="180" t="str">
        <f t="shared" si="15"/>
        <v/>
      </c>
      <c r="E182" s="180" t="str">
        <f t="shared" si="4"/>
        <v/>
      </c>
      <c r="H182" s="181"/>
      <c r="I182" s="182"/>
      <c r="J182" s="183" t="s">
        <v>582</v>
      </c>
      <c r="K182" s="183" t="s">
        <v>583</v>
      </c>
      <c r="N182" s="177"/>
    </row>
    <row r="183" ht="15.75" customHeight="1">
      <c r="B183" s="180" t="str">
        <f t="shared" si="1"/>
        <v/>
      </c>
      <c r="C183" s="180" t="str">
        <f t="shared" si="2"/>
        <v/>
      </c>
      <c r="D183" s="180" t="str">
        <f t="shared" si="15"/>
        <v/>
      </c>
      <c r="E183" s="180" t="str">
        <f t="shared" si="4"/>
        <v/>
      </c>
      <c r="H183" s="181"/>
      <c r="I183" s="182"/>
      <c r="J183" s="183" t="s">
        <v>584</v>
      </c>
      <c r="K183" s="183" t="s">
        <v>585</v>
      </c>
      <c r="N183" s="177"/>
    </row>
    <row r="184" ht="15.75" customHeight="1">
      <c r="B184" s="180" t="str">
        <f t="shared" si="1"/>
        <v/>
      </c>
      <c r="C184" s="180" t="str">
        <f t="shared" si="2"/>
        <v/>
      </c>
      <c r="D184" s="180" t="str">
        <f t="shared" si="15"/>
        <v/>
      </c>
      <c r="E184" s="180" t="str">
        <f t="shared" si="4"/>
        <v/>
      </c>
      <c r="H184" s="181"/>
      <c r="I184" s="182"/>
      <c r="J184" s="183" t="s">
        <v>586</v>
      </c>
      <c r="K184" s="183" t="s">
        <v>587</v>
      </c>
      <c r="N184" s="177"/>
    </row>
    <row r="185" ht="15.75" customHeight="1">
      <c r="B185" s="180" t="str">
        <f t="shared" si="1"/>
        <v/>
      </c>
      <c r="C185" s="180" t="str">
        <f t="shared" si="2"/>
        <v/>
      </c>
      <c r="D185" s="180" t="str">
        <f t="shared" si="15"/>
        <v/>
      </c>
      <c r="E185" s="180" t="str">
        <f t="shared" si="4"/>
        <v/>
      </c>
      <c r="H185" s="181"/>
      <c r="I185" s="182"/>
      <c r="J185" s="183" t="s">
        <v>588</v>
      </c>
      <c r="K185" s="183" t="s">
        <v>589</v>
      </c>
      <c r="N185" s="177"/>
    </row>
    <row r="186" ht="15.75" customHeight="1">
      <c r="B186" s="180" t="str">
        <f t="shared" si="1"/>
        <v/>
      </c>
      <c r="C186" s="180" t="str">
        <f t="shared" si="2"/>
        <v/>
      </c>
      <c r="D186" s="180" t="str">
        <f t="shared" si="15"/>
        <v/>
      </c>
      <c r="E186" s="180" t="str">
        <f t="shared" si="4"/>
        <v/>
      </c>
      <c r="H186" s="181"/>
      <c r="I186" s="182"/>
      <c r="J186" s="183" t="s">
        <v>590</v>
      </c>
      <c r="K186" s="183" t="s">
        <v>591</v>
      </c>
      <c r="N186" s="177"/>
    </row>
    <row r="187" ht="15.75" customHeight="1">
      <c r="B187" s="180" t="str">
        <f t="shared" si="1"/>
        <v/>
      </c>
      <c r="C187" s="180" t="str">
        <f t="shared" si="2"/>
        <v/>
      </c>
      <c r="D187" s="180" t="str">
        <f t="shared" si="15"/>
        <v/>
      </c>
      <c r="E187" s="180" t="str">
        <f t="shared" si="4"/>
        <v/>
      </c>
      <c r="H187" s="181"/>
      <c r="I187" s="182"/>
      <c r="J187" s="183" t="s">
        <v>592</v>
      </c>
      <c r="K187" s="183" t="s">
        <v>593</v>
      </c>
      <c r="N187" s="177"/>
    </row>
    <row r="188" ht="15.75" customHeight="1">
      <c r="B188" s="180" t="str">
        <f t="shared" si="1"/>
        <v/>
      </c>
      <c r="C188" s="180" t="str">
        <f t="shared" si="2"/>
        <v/>
      </c>
      <c r="D188" s="180" t="str">
        <f t="shared" si="15"/>
        <v/>
      </c>
      <c r="E188" s="180" t="str">
        <f t="shared" si="4"/>
        <v/>
      </c>
      <c r="H188" s="181"/>
      <c r="I188" s="182"/>
      <c r="J188" s="183" t="s">
        <v>594</v>
      </c>
      <c r="K188" s="183" t="s">
        <v>595</v>
      </c>
      <c r="N188" s="177"/>
    </row>
    <row r="189" ht="15.75" customHeight="1">
      <c r="B189" s="180" t="str">
        <f t="shared" si="1"/>
        <v/>
      </c>
      <c r="C189" s="180" t="str">
        <f t="shared" si="2"/>
        <v/>
      </c>
      <c r="D189" s="180" t="str">
        <f t="shared" si="15"/>
        <v/>
      </c>
      <c r="E189" s="180" t="str">
        <f t="shared" si="4"/>
        <v/>
      </c>
      <c r="H189" s="181"/>
      <c r="I189" s="182"/>
      <c r="J189" s="183" t="s">
        <v>596</v>
      </c>
      <c r="K189" s="183" t="s">
        <v>597</v>
      </c>
      <c r="N189" s="177"/>
    </row>
    <row r="190" ht="15.75" customHeight="1">
      <c r="B190" s="180" t="str">
        <f t="shared" si="1"/>
        <v/>
      </c>
      <c r="C190" s="180" t="str">
        <f t="shared" si="2"/>
        <v/>
      </c>
      <c r="D190" s="180" t="str">
        <f t="shared" si="15"/>
        <v/>
      </c>
      <c r="E190" s="180" t="str">
        <f t="shared" si="4"/>
        <v/>
      </c>
      <c r="H190" s="181"/>
      <c r="I190" s="182"/>
      <c r="J190" s="183" t="s">
        <v>598</v>
      </c>
      <c r="K190" s="183" t="s">
        <v>599</v>
      </c>
      <c r="N190" s="177"/>
    </row>
    <row r="191" ht="15.75" customHeight="1">
      <c r="B191" s="180" t="str">
        <f t="shared" si="1"/>
        <v/>
      </c>
      <c r="C191" s="180" t="str">
        <f t="shared" si="2"/>
        <v/>
      </c>
      <c r="D191" s="180" t="str">
        <f t="shared" si="15"/>
        <v/>
      </c>
      <c r="E191" s="180" t="str">
        <f t="shared" si="4"/>
        <v/>
      </c>
      <c r="H191" s="181"/>
      <c r="I191" s="182"/>
      <c r="J191" s="183" t="s">
        <v>600</v>
      </c>
      <c r="K191" s="183" t="s">
        <v>601</v>
      </c>
      <c r="N191" s="177"/>
    </row>
    <row r="192" ht="15.75" customHeight="1">
      <c r="B192" s="180" t="str">
        <f t="shared" si="1"/>
        <v/>
      </c>
      <c r="C192" s="180" t="str">
        <f t="shared" si="2"/>
        <v/>
      </c>
      <c r="D192" s="180" t="str">
        <f t="shared" si="15"/>
        <v/>
      </c>
      <c r="E192" s="180" t="str">
        <f t="shared" si="4"/>
        <v/>
      </c>
      <c r="H192" s="181"/>
      <c r="I192" s="182"/>
      <c r="J192" s="183" t="s">
        <v>602</v>
      </c>
      <c r="K192" s="183" t="s">
        <v>603</v>
      </c>
      <c r="N192" s="177"/>
    </row>
    <row r="193" ht="15.75" customHeight="1">
      <c r="B193" s="180" t="str">
        <f t="shared" si="1"/>
        <v/>
      </c>
      <c r="C193" s="180" t="str">
        <f t="shared" si="2"/>
        <v/>
      </c>
      <c r="D193" s="180" t="str">
        <f t="shared" si="15"/>
        <v/>
      </c>
      <c r="E193" s="180" t="str">
        <f t="shared" si="4"/>
        <v/>
      </c>
      <c r="H193" s="181"/>
      <c r="I193" s="182"/>
      <c r="J193" s="183" t="s">
        <v>604</v>
      </c>
      <c r="K193" s="183" t="s">
        <v>605</v>
      </c>
      <c r="N193" s="177"/>
    </row>
    <row r="194" ht="15.75" customHeight="1">
      <c r="B194" s="180" t="str">
        <f t="shared" si="1"/>
        <v/>
      </c>
      <c r="C194" s="180" t="str">
        <f t="shared" si="2"/>
        <v/>
      </c>
      <c r="D194" s="180" t="str">
        <f t="shared" si="15"/>
        <v/>
      </c>
      <c r="E194" s="180" t="str">
        <f t="shared" si="4"/>
        <v/>
      </c>
      <c r="H194" s="181"/>
      <c r="I194" s="182"/>
      <c r="J194" s="183" t="s">
        <v>606</v>
      </c>
      <c r="K194" s="183" t="s">
        <v>607</v>
      </c>
      <c r="N194" s="177"/>
    </row>
    <row r="195" ht="15.75" customHeight="1">
      <c r="B195" s="180" t="str">
        <f t="shared" si="1"/>
        <v/>
      </c>
      <c r="C195" s="180" t="str">
        <f t="shared" si="2"/>
        <v/>
      </c>
      <c r="D195" s="180" t="str">
        <f t="shared" si="15"/>
        <v/>
      </c>
      <c r="E195" s="180" t="str">
        <f t="shared" si="4"/>
        <v/>
      </c>
      <c r="H195" s="181"/>
      <c r="I195" s="182"/>
      <c r="J195" s="183" t="s">
        <v>608</v>
      </c>
      <c r="K195" s="183" t="s">
        <v>609</v>
      </c>
      <c r="N195" s="177"/>
    </row>
    <row r="196" ht="15.75" customHeight="1">
      <c r="B196" s="180" t="str">
        <f t="shared" si="1"/>
        <v/>
      </c>
      <c r="C196" s="180" t="str">
        <f t="shared" si="2"/>
        <v/>
      </c>
      <c r="D196" s="180" t="str">
        <f t="shared" si="15"/>
        <v/>
      </c>
      <c r="E196" s="180" t="str">
        <f t="shared" si="4"/>
        <v/>
      </c>
      <c r="H196" s="181"/>
      <c r="I196" s="182"/>
      <c r="J196" s="183" t="s">
        <v>610</v>
      </c>
      <c r="K196" s="183" t="s">
        <v>611</v>
      </c>
      <c r="N196" s="177"/>
    </row>
    <row r="197" ht="15.75" customHeight="1">
      <c r="B197" s="180" t="str">
        <f t="shared" si="1"/>
        <v/>
      </c>
      <c r="C197" s="180" t="str">
        <f t="shared" si="2"/>
        <v/>
      </c>
      <c r="D197" s="180" t="str">
        <f t="shared" si="15"/>
        <v/>
      </c>
      <c r="E197" s="180" t="str">
        <f t="shared" si="4"/>
        <v/>
      </c>
      <c r="H197" s="181"/>
      <c r="I197" s="182"/>
      <c r="J197" s="183" t="s">
        <v>612</v>
      </c>
      <c r="K197" s="183" t="s">
        <v>613</v>
      </c>
      <c r="N197" s="177"/>
    </row>
    <row r="198" ht="15.75" customHeight="1">
      <c r="B198" s="180" t="str">
        <f t="shared" si="1"/>
        <v/>
      </c>
      <c r="C198" s="180" t="str">
        <f t="shared" si="2"/>
        <v/>
      </c>
      <c r="D198" s="180" t="str">
        <f t="shared" si="15"/>
        <v/>
      </c>
      <c r="E198" s="180" t="str">
        <f t="shared" si="4"/>
        <v/>
      </c>
      <c r="H198" s="181"/>
      <c r="I198" s="182"/>
      <c r="J198" s="183" t="s">
        <v>614</v>
      </c>
      <c r="K198" s="183" t="s">
        <v>615</v>
      </c>
      <c r="N198" s="177"/>
    </row>
    <row r="199" ht="15.75" customHeight="1">
      <c r="B199" s="180" t="str">
        <f t="shared" si="1"/>
        <v/>
      </c>
      <c r="C199" s="180" t="str">
        <f t="shared" si="2"/>
        <v/>
      </c>
      <c r="D199" s="180" t="str">
        <f t="shared" si="15"/>
        <v/>
      </c>
      <c r="E199" s="180" t="str">
        <f t="shared" si="4"/>
        <v/>
      </c>
      <c r="H199" s="181"/>
      <c r="I199" s="182"/>
      <c r="J199" s="183" t="s">
        <v>616</v>
      </c>
      <c r="K199" s="183" t="s">
        <v>617</v>
      </c>
      <c r="N199" s="177"/>
    </row>
    <row r="200" ht="15.75" customHeight="1">
      <c r="B200" s="180" t="str">
        <f t="shared" si="1"/>
        <v/>
      </c>
      <c r="C200" s="180" t="str">
        <f t="shared" si="2"/>
        <v/>
      </c>
      <c r="D200" s="180" t="str">
        <f t="shared" si="15"/>
        <v/>
      </c>
      <c r="E200" s="180" t="str">
        <f t="shared" si="4"/>
        <v/>
      </c>
      <c r="H200" s="181"/>
      <c r="I200" s="182"/>
      <c r="J200" s="183" t="s">
        <v>618</v>
      </c>
      <c r="K200" s="183" t="s">
        <v>619</v>
      </c>
      <c r="N200" s="177"/>
    </row>
    <row r="201" ht="15.75" customHeight="1">
      <c r="B201" s="180" t="str">
        <f t="shared" si="1"/>
        <v/>
      </c>
      <c r="C201" s="180" t="str">
        <f t="shared" si="2"/>
        <v/>
      </c>
      <c r="D201" s="180" t="str">
        <f t="shared" si="15"/>
        <v/>
      </c>
      <c r="E201" s="180" t="str">
        <f t="shared" si="4"/>
        <v/>
      </c>
      <c r="H201" s="181"/>
      <c r="I201" s="182"/>
      <c r="J201" s="183" t="s">
        <v>620</v>
      </c>
      <c r="K201" s="183" t="s">
        <v>621</v>
      </c>
      <c r="N201" s="177"/>
    </row>
    <row r="202" ht="15.75" customHeight="1">
      <c r="B202" s="180" t="str">
        <f t="shared" si="1"/>
        <v/>
      </c>
      <c r="C202" s="180" t="str">
        <f t="shared" si="2"/>
        <v/>
      </c>
      <c r="D202" s="180" t="str">
        <f t="shared" si="15"/>
        <v/>
      </c>
      <c r="E202" s="180" t="str">
        <f t="shared" si="4"/>
        <v/>
      </c>
      <c r="H202" s="181"/>
      <c r="I202" s="182"/>
      <c r="J202" s="183" t="s">
        <v>622</v>
      </c>
      <c r="K202" s="183" t="s">
        <v>623</v>
      </c>
      <c r="N202" s="177"/>
    </row>
    <row r="203" ht="15.75" customHeight="1">
      <c r="B203" s="180" t="str">
        <f t="shared" si="1"/>
        <v/>
      </c>
      <c r="C203" s="180" t="str">
        <f t="shared" si="2"/>
        <v/>
      </c>
      <c r="D203" s="180" t="str">
        <f t="shared" si="15"/>
        <v/>
      </c>
      <c r="E203" s="180" t="str">
        <f t="shared" si="4"/>
        <v/>
      </c>
      <c r="H203" s="181"/>
      <c r="I203" s="182"/>
      <c r="J203" s="183" t="s">
        <v>624</v>
      </c>
      <c r="K203" s="183" t="s">
        <v>625</v>
      </c>
      <c r="N203" s="177"/>
    </row>
    <row r="204" ht="15.75" customHeight="1">
      <c r="B204" s="180" t="str">
        <f t="shared" si="1"/>
        <v/>
      </c>
      <c r="C204" s="180" t="str">
        <f t="shared" si="2"/>
        <v/>
      </c>
      <c r="D204" s="180" t="str">
        <f t="shared" si="15"/>
        <v/>
      </c>
      <c r="E204" s="180" t="str">
        <f t="shared" si="4"/>
        <v/>
      </c>
      <c r="H204" s="181"/>
      <c r="I204" s="182"/>
      <c r="J204" s="183" t="s">
        <v>626</v>
      </c>
      <c r="K204" s="183" t="s">
        <v>627</v>
      </c>
      <c r="N204" s="177"/>
    </row>
    <row r="205" ht="15.75" customHeight="1">
      <c r="B205" s="180" t="str">
        <f t="shared" si="1"/>
        <v/>
      </c>
      <c r="C205" s="180" t="str">
        <f t="shared" si="2"/>
        <v/>
      </c>
      <c r="D205" s="180" t="str">
        <f t="shared" si="15"/>
        <v/>
      </c>
      <c r="E205" s="180" t="str">
        <f t="shared" si="4"/>
        <v/>
      </c>
      <c r="H205" s="181"/>
      <c r="I205" s="182"/>
      <c r="J205" s="183" t="s">
        <v>628</v>
      </c>
      <c r="K205" s="183" t="s">
        <v>629</v>
      </c>
      <c r="N205" s="177"/>
    </row>
    <row r="206" ht="15.75" customHeight="1">
      <c r="B206" s="180" t="str">
        <f t="shared" si="1"/>
        <v/>
      </c>
      <c r="C206" s="180" t="str">
        <f t="shared" si="2"/>
        <v/>
      </c>
      <c r="D206" s="180" t="str">
        <f t="shared" si="15"/>
        <v/>
      </c>
      <c r="E206" s="180" t="str">
        <f t="shared" si="4"/>
        <v/>
      </c>
      <c r="H206" s="181"/>
      <c r="I206" s="182"/>
      <c r="J206" s="183" t="s">
        <v>630</v>
      </c>
      <c r="K206" s="183" t="s">
        <v>631</v>
      </c>
      <c r="N206" s="177"/>
    </row>
    <row r="207" ht="15.75" customHeight="1">
      <c r="B207" s="180" t="str">
        <f t="shared" si="1"/>
        <v/>
      </c>
      <c r="C207" s="180" t="str">
        <f t="shared" si="2"/>
        <v/>
      </c>
      <c r="D207" s="180" t="str">
        <f t="shared" si="15"/>
        <v/>
      </c>
      <c r="E207" s="180" t="str">
        <f t="shared" si="4"/>
        <v/>
      </c>
      <c r="H207" s="181"/>
      <c r="I207" s="182"/>
      <c r="J207" s="183" t="s">
        <v>632</v>
      </c>
      <c r="K207" s="183" t="s">
        <v>633</v>
      </c>
      <c r="N207" s="177"/>
    </row>
    <row r="208" ht="15.75" customHeight="1">
      <c r="B208" s="180" t="str">
        <f t="shared" si="1"/>
        <v/>
      </c>
      <c r="C208" s="180" t="str">
        <f t="shared" si="2"/>
        <v/>
      </c>
      <c r="D208" s="180" t="str">
        <f t="shared" si="15"/>
        <v/>
      </c>
      <c r="E208" s="180" t="str">
        <f t="shared" si="4"/>
        <v/>
      </c>
      <c r="H208" s="181"/>
      <c r="I208" s="182"/>
      <c r="J208" s="183" t="s">
        <v>634</v>
      </c>
      <c r="K208" s="183" t="s">
        <v>635</v>
      </c>
      <c r="N208" s="177"/>
    </row>
    <row r="209" ht="15.75" customHeight="1">
      <c r="B209" s="180" t="str">
        <f t="shared" si="1"/>
        <v/>
      </c>
      <c r="C209" s="180" t="str">
        <f t="shared" si="2"/>
        <v/>
      </c>
      <c r="D209" s="180" t="str">
        <f t="shared" si="15"/>
        <v/>
      </c>
      <c r="E209" s="180" t="str">
        <f t="shared" si="4"/>
        <v/>
      </c>
      <c r="H209" s="181"/>
      <c r="I209" s="182"/>
      <c r="J209" s="183" t="s">
        <v>636</v>
      </c>
      <c r="K209" s="183" t="s">
        <v>637</v>
      </c>
      <c r="N209" s="177"/>
    </row>
    <row r="210" ht="15.75" customHeight="1">
      <c r="B210" s="180" t="str">
        <f t="shared" si="1"/>
        <v/>
      </c>
      <c r="C210" s="180" t="str">
        <f t="shared" si="2"/>
        <v/>
      </c>
      <c r="D210" s="180" t="str">
        <f t="shared" si="15"/>
        <v/>
      </c>
      <c r="E210" s="180" t="str">
        <f t="shared" si="4"/>
        <v/>
      </c>
      <c r="H210" s="181"/>
      <c r="I210" s="182"/>
      <c r="J210" s="183" t="s">
        <v>638</v>
      </c>
      <c r="K210" s="183" t="s">
        <v>639</v>
      </c>
      <c r="N210" s="177"/>
    </row>
    <row r="211" ht="15.75" customHeight="1">
      <c r="B211" s="180" t="str">
        <f t="shared" si="1"/>
        <v/>
      </c>
      <c r="C211" s="180" t="str">
        <f t="shared" si="2"/>
        <v/>
      </c>
      <c r="D211" s="180" t="str">
        <f t="shared" si="15"/>
        <v/>
      </c>
      <c r="E211" s="180" t="str">
        <f t="shared" si="4"/>
        <v/>
      </c>
      <c r="H211" s="181"/>
      <c r="I211" s="182"/>
      <c r="J211" s="183" t="s">
        <v>640</v>
      </c>
      <c r="K211" s="183" t="s">
        <v>641</v>
      </c>
      <c r="N211" s="177"/>
    </row>
    <row r="212" ht="15.75" customHeight="1">
      <c r="B212" s="180" t="str">
        <f t="shared" si="1"/>
        <v/>
      </c>
      <c r="C212" s="180" t="str">
        <f t="shared" si="2"/>
        <v/>
      </c>
      <c r="D212" s="180" t="str">
        <f t="shared" si="15"/>
        <v/>
      </c>
      <c r="E212" s="180" t="str">
        <f t="shared" si="4"/>
        <v/>
      </c>
      <c r="H212" s="181"/>
      <c r="I212" s="182"/>
      <c r="J212" s="183" t="s">
        <v>642</v>
      </c>
      <c r="K212" s="183" t="s">
        <v>643</v>
      </c>
      <c r="N212" s="177"/>
    </row>
    <row r="213" ht="15.75" customHeight="1">
      <c r="B213" s="180" t="str">
        <f t="shared" si="1"/>
        <v/>
      </c>
      <c r="C213" s="180" t="str">
        <f t="shared" si="2"/>
        <v/>
      </c>
      <c r="D213" s="180" t="str">
        <f t="shared" si="15"/>
        <v/>
      </c>
      <c r="E213" s="180" t="str">
        <f t="shared" si="4"/>
        <v/>
      </c>
      <c r="H213" s="181"/>
      <c r="I213" s="182"/>
      <c r="J213" s="183" t="s">
        <v>644</v>
      </c>
      <c r="K213" s="183" t="s">
        <v>645</v>
      </c>
      <c r="N213" s="177"/>
    </row>
    <row r="214" ht="15.75" customHeight="1">
      <c r="B214" s="180" t="str">
        <f t="shared" si="1"/>
        <v/>
      </c>
      <c r="C214" s="180" t="str">
        <f t="shared" si="2"/>
        <v/>
      </c>
      <c r="D214" s="180" t="str">
        <f t="shared" si="15"/>
        <v/>
      </c>
      <c r="E214" s="180" t="str">
        <f t="shared" si="4"/>
        <v/>
      </c>
      <c r="H214" s="181"/>
      <c r="I214" s="182"/>
      <c r="J214" s="183" t="s">
        <v>646</v>
      </c>
      <c r="K214" s="183" t="s">
        <v>647</v>
      </c>
      <c r="N214" s="177"/>
    </row>
    <row r="215" ht="15.75" customHeight="1">
      <c r="B215" s="180" t="str">
        <f t="shared" si="1"/>
        <v/>
      </c>
      <c r="C215" s="180" t="str">
        <f t="shared" si="2"/>
        <v/>
      </c>
      <c r="D215" s="180" t="str">
        <f t="shared" si="15"/>
        <v/>
      </c>
      <c r="E215" s="180" t="str">
        <f t="shared" si="4"/>
        <v/>
      </c>
      <c r="H215" s="181"/>
      <c r="I215" s="182"/>
      <c r="J215" s="183" t="s">
        <v>648</v>
      </c>
      <c r="K215" s="183" t="s">
        <v>649</v>
      </c>
      <c r="N215" s="177"/>
    </row>
    <row r="216" ht="15.75" customHeight="1">
      <c r="B216" s="180" t="str">
        <f t="shared" si="1"/>
        <v/>
      </c>
      <c r="C216" s="180" t="str">
        <f t="shared" si="2"/>
        <v/>
      </c>
      <c r="D216" s="180" t="str">
        <f t="shared" si="15"/>
        <v/>
      </c>
      <c r="E216" s="180" t="str">
        <f t="shared" si="4"/>
        <v/>
      </c>
      <c r="H216" s="181"/>
      <c r="I216" s="182"/>
      <c r="J216" s="183" t="s">
        <v>650</v>
      </c>
      <c r="K216" s="183" t="s">
        <v>651</v>
      </c>
      <c r="N216" s="177"/>
    </row>
    <row r="217" ht="15.75" customHeight="1">
      <c r="B217" s="180" t="str">
        <f t="shared" si="1"/>
        <v/>
      </c>
      <c r="C217" s="180" t="str">
        <f t="shared" si="2"/>
        <v/>
      </c>
      <c r="D217" s="180" t="str">
        <f t="shared" si="15"/>
        <v/>
      </c>
      <c r="E217" s="180" t="str">
        <f t="shared" si="4"/>
        <v/>
      </c>
      <c r="H217" s="181"/>
      <c r="I217" s="182"/>
      <c r="J217" s="183" t="s">
        <v>652</v>
      </c>
      <c r="K217" s="183" t="s">
        <v>653</v>
      </c>
      <c r="N217" s="177"/>
    </row>
    <row r="218" ht="15.75" customHeight="1">
      <c r="B218" s="180" t="str">
        <f t="shared" si="1"/>
        <v/>
      </c>
      <c r="C218" s="180" t="str">
        <f t="shared" si="2"/>
        <v/>
      </c>
      <c r="D218" s="180" t="str">
        <f t="shared" si="15"/>
        <v/>
      </c>
      <c r="E218" s="180" t="str">
        <f t="shared" si="4"/>
        <v/>
      </c>
      <c r="H218" s="181"/>
      <c r="I218" s="182"/>
      <c r="J218" s="183" t="s">
        <v>654</v>
      </c>
      <c r="K218" s="183" t="s">
        <v>655</v>
      </c>
      <c r="N218" s="177"/>
    </row>
    <row r="219" ht="15.75" customHeight="1">
      <c r="B219" s="180" t="str">
        <f t="shared" si="1"/>
        <v/>
      </c>
      <c r="C219" s="180" t="str">
        <f t="shared" si="2"/>
        <v/>
      </c>
      <c r="D219" s="180" t="str">
        <f t="shared" si="15"/>
        <v/>
      </c>
      <c r="E219" s="180" t="str">
        <f t="shared" si="4"/>
        <v/>
      </c>
      <c r="H219" s="181"/>
      <c r="I219" s="182"/>
      <c r="J219" s="183" t="s">
        <v>656</v>
      </c>
      <c r="K219" s="183" t="s">
        <v>657</v>
      </c>
      <c r="N219" s="177"/>
    </row>
    <row r="220" ht="15.75" customHeight="1">
      <c r="B220" s="180" t="str">
        <f t="shared" si="1"/>
        <v/>
      </c>
      <c r="C220" s="180" t="str">
        <f t="shared" si="2"/>
        <v/>
      </c>
      <c r="D220" s="180" t="str">
        <f t="shared" si="15"/>
        <v/>
      </c>
      <c r="E220" s="180" t="str">
        <f t="shared" si="4"/>
        <v/>
      </c>
      <c r="H220" s="181"/>
      <c r="I220" s="182"/>
      <c r="J220" s="183" t="s">
        <v>658</v>
      </c>
      <c r="K220" s="183" t="s">
        <v>659</v>
      </c>
      <c r="N220" s="177"/>
    </row>
    <row r="221" ht="15.75" customHeight="1">
      <c r="B221" s="180" t="str">
        <f t="shared" si="1"/>
        <v/>
      </c>
      <c r="C221" s="180" t="str">
        <f t="shared" si="2"/>
        <v/>
      </c>
      <c r="D221" s="180" t="str">
        <f t="shared" si="15"/>
        <v/>
      </c>
      <c r="E221" s="180" t="str">
        <f t="shared" si="4"/>
        <v/>
      </c>
      <c r="H221" s="181"/>
      <c r="I221" s="182"/>
      <c r="J221" s="183" t="s">
        <v>660</v>
      </c>
      <c r="K221" s="183" t="s">
        <v>661</v>
      </c>
      <c r="N221" s="177"/>
    </row>
    <row r="222" ht="15.75" customHeight="1">
      <c r="B222" s="180" t="str">
        <f t="shared" si="1"/>
        <v/>
      </c>
      <c r="C222" s="180" t="str">
        <f t="shared" si="2"/>
        <v/>
      </c>
      <c r="D222" s="180" t="str">
        <f t="shared" si="15"/>
        <v/>
      </c>
      <c r="E222" s="180" t="str">
        <f t="shared" si="4"/>
        <v/>
      </c>
      <c r="H222" s="181"/>
      <c r="I222" s="182"/>
      <c r="J222" s="183" t="s">
        <v>662</v>
      </c>
      <c r="K222" s="183" t="s">
        <v>663</v>
      </c>
      <c r="N222" s="177"/>
    </row>
    <row r="223" ht="15.75" customHeight="1">
      <c r="B223" s="180" t="str">
        <f t="shared" si="1"/>
        <v/>
      </c>
      <c r="C223" s="180" t="str">
        <f t="shared" si="2"/>
        <v/>
      </c>
      <c r="D223" s="180" t="str">
        <f t="shared" si="15"/>
        <v/>
      </c>
      <c r="E223" s="180" t="str">
        <f t="shared" si="4"/>
        <v/>
      </c>
      <c r="H223" s="181"/>
      <c r="I223" s="182"/>
      <c r="J223" s="183" t="s">
        <v>664</v>
      </c>
      <c r="K223" s="183" t="s">
        <v>665</v>
      </c>
      <c r="N223" s="177"/>
    </row>
    <row r="224" ht="15.75" customHeight="1">
      <c r="B224" s="180" t="str">
        <f t="shared" si="1"/>
        <v/>
      </c>
      <c r="C224" s="180" t="str">
        <f t="shared" si="2"/>
        <v/>
      </c>
      <c r="D224" s="180" t="str">
        <f t="shared" si="15"/>
        <v/>
      </c>
      <c r="E224" s="180" t="str">
        <f t="shared" si="4"/>
        <v/>
      </c>
      <c r="H224" s="181"/>
      <c r="I224" s="182"/>
      <c r="J224" s="183" t="s">
        <v>666</v>
      </c>
      <c r="K224" s="183" t="s">
        <v>667</v>
      </c>
      <c r="N224" s="177"/>
    </row>
    <row r="225" ht="15.75" customHeight="1">
      <c r="B225" s="180" t="str">
        <f t="shared" si="1"/>
        <v/>
      </c>
      <c r="C225" s="180" t="str">
        <f t="shared" si="2"/>
        <v/>
      </c>
      <c r="D225" s="180" t="str">
        <f t="shared" si="15"/>
        <v/>
      </c>
      <c r="E225" s="180" t="str">
        <f t="shared" si="4"/>
        <v/>
      </c>
      <c r="H225" s="181"/>
      <c r="I225" s="182"/>
      <c r="J225" s="183" t="s">
        <v>668</v>
      </c>
      <c r="K225" s="183" t="s">
        <v>669</v>
      </c>
      <c r="N225" s="177"/>
    </row>
    <row r="226" ht="15.75" customHeight="1">
      <c r="B226" s="180" t="str">
        <f t="shared" si="1"/>
        <v/>
      </c>
      <c r="C226" s="180" t="str">
        <f t="shared" si="2"/>
        <v/>
      </c>
      <c r="D226" s="180" t="str">
        <f t="shared" si="15"/>
        <v/>
      </c>
      <c r="E226" s="180" t="str">
        <f t="shared" si="4"/>
        <v/>
      </c>
      <c r="H226" s="181"/>
      <c r="I226" s="182"/>
      <c r="J226" s="183" t="s">
        <v>670</v>
      </c>
      <c r="K226" s="183" t="s">
        <v>671</v>
      </c>
      <c r="N226" s="177"/>
    </row>
    <row r="227" ht="15.75" customHeight="1">
      <c r="B227" s="180" t="str">
        <f t="shared" si="1"/>
        <v/>
      </c>
      <c r="C227" s="180" t="str">
        <f t="shared" si="2"/>
        <v/>
      </c>
      <c r="D227" s="180" t="str">
        <f t="shared" si="15"/>
        <v/>
      </c>
      <c r="E227" s="180" t="str">
        <f t="shared" si="4"/>
        <v/>
      </c>
      <c r="H227" s="181"/>
      <c r="I227" s="182"/>
      <c r="J227" s="183" t="s">
        <v>672</v>
      </c>
      <c r="K227" s="183" t="s">
        <v>673</v>
      </c>
      <c r="N227" s="177"/>
    </row>
    <row r="228" ht="15.75" customHeight="1">
      <c r="B228" s="180" t="str">
        <f t="shared" si="1"/>
        <v/>
      </c>
      <c r="C228" s="180" t="str">
        <f t="shared" si="2"/>
        <v/>
      </c>
      <c r="D228" s="180" t="str">
        <f t="shared" si="15"/>
        <v/>
      </c>
      <c r="E228" s="180" t="str">
        <f t="shared" si="4"/>
        <v/>
      </c>
      <c r="H228" s="181"/>
      <c r="I228" s="182"/>
      <c r="J228" s="183" t="s">
        <v>674</v>
      </c>
      <c r="K228" s="183" t="s">
        <v>675</v>
      </c>
      <c r="N228" s="177"/>
    </row>
    <row r="229" ht="15.75" customHeight="1">
      <c r="B229" s="180" t="str">
        <f t="shared" si="1"/>
        <v/>
      </c>
      <c r="C229" s="180" t="str">
        <f t="shared" si="2"/>
        <v/>
      </c>
      <c r="D229" s="180" t="str">
        <f t="shared" si="15"/>
        <v/>
      </c>
      <c r="E229" s="180" t="str">
        <f t="shared" si="4"/>
        <v/>
      </c>
      <c r="H229" s="181"/>
      <c r="I229" s="182"/>
      <c r="J229" s="183" t="s">
        <v>676</v>
      </c>
      <c r="K229" s="183" t="s">
        <v>677</v>
      </c>
      <c r="N229" s="177"/>
    </row>
    <row r="230" ht="15.75" customHeight="1">
      <c r="B230" s="180" t="str">
        <f t="shared" si="1"/>
        <v/>
      </c>
      <c r="C230" s="180" t="str">
        <f t="shared" si="2"/>
        <v/>
      </c>
      <c r="D230" s="180" t="str">
        <f t="shared" si="15"/>
        <v/>
      </c>
      <c r="E230" s="180" t="str">
        <f t="shared" si="4"/>
        <v/>
      </c>
      <c r="H230" s="181"/>
      <c r="I230" s="182"/>
      <c r="J230" s="183" t="s">
        <v>678</v>
      </c>
      <c r="K230" s="183" t="s">
        <v>679</v>
      </c>
      <c r="N230" s="177"/>
    </row>
    <row r="231" ht="15.75" customHeight="1">
      <c r="B231" s="180" t="str">
        <f t="shared" si="1"/>
        <v/>
      </c>
      <c r="C231" s="180" t="str">
        <f t="shared" si="2"/>
        <v/>
      </c>
      <c r="D231" s="180" t="str">
        <f t="shared" si="15"/>
        <v/>
      </c>
      <c r="E231" s="180" t="str">
        <f t="shared" si="4"/>
        <v/>
      </c>
      <c r="H231" s="181"/>
      <c r="I231" s="182"/>
      <c r="J231" s="183" t="s">
        <v>680</v>
      </c>
      <c r="K231" s="183" t="s">
        <v>681</v>
      </c>
      <c r="N231" s="177"/>
    </row>
    <row r="232" ht="15.75" customHeight="1">
      <c r="B232" s="180" t="str">
        <f t="shared" si="1"/>
        <v/>
      </c>
      <c r="C232" s="180" t="str">
        <f t="shared" si="2"/>
        <v/>
      </c>
      <c r="D232" s="180" t="str">
        <f t="shared" si="15"/>
        <v/>
      </c>
      <c r="E232" s="180" t="str">
        <f t="shared" si="4"/>
        <v/>
      </c>
      <c r="H232" s="181"/>
      <c r="I232" s="182"/>
      <c r="J232" s="183" t="s">
        <v>682</v>
      </c>
      <c r="K232" s="183" t="s">
        <v>683</v>
      </c>
      <c r="N232" s="177"/>
    </row>
    <row r="233" ht="15.75" customHeight="1">
      <c r="B233" s="180" t="str">
        <f t="shared" si="1"/>
        <v/>
      </c>
      <c r="C233" s="180" t="str">
        <f t="shared" si="2"/>
        <v/>
      </c>
      <c r="D233" s="180" t="str">
        <f t="shared" si="15"/>
        <v/>
      </c>
      <c r="E233" s="180" t="str">
        <f t="shared" si="4"/>
        <v/>
      </c>
      <c r="H233" s="181"/>
      <c r="I233" s="182"/>
      <c r="J233" s="183" t="s">
        <v>684</v>
      </c>
      <c r="K233" s="183" t="s">
        <v>685</v>
      </c>
      <c r="N233" s="177"/>
    </row>
    <row r="234" ht="15.75" customHeight="1">
      <c r="B234" s="180" t="str">
        <f t="shared" si="1"/>
        <v/>
      </c>
      <c r="C234" s="180" t="str">
        <f t="shared" si="2"/>
        <v/>
      </c>
      <c r="D234" s="180" t="str">
        <f t="shared" si="15"/>
        <v/>
      </c>
      <c r="E234" s="180" t="str">
        <f t="shared" si="4"/>
        <v/>
      </c>
      <c r="H234" s="181"/>
      <c r="I234" s="182"/>
      <c r="J234" s="183" t="s">
        <v>686</v>
      </c>
      <c r="K234" s="183" t="s">
        <v>687</v>
      </c>
      <c r="N234" s="177"/>
    </row>
    <row r="235" ht="15.75" customHeight="1">
      <c r="B235" s="180" t="str">
        <f t="shared" si="1"/>
        <v/>
      </c>
      <c r="C235" s="180" t="str">
        <f t="shared" si="2"/>
        <v/>
      </c>
      <c r="D235" s="180" t="str">
        <f t="shared" si="15"/>
        <v/>
      </c>
      <c r="E235" s="180" t="str">
        <f t="shared" si="4"/>
        <v/>
      </c>
      <c r="H235" s="181"/>
      <c r="I235" s="182"/>
      <c r="J235" s="183" t="s">
        <v>688</v>
      </c>
      <c r="K235" s="183" t="s">
        <v>689</v>
      </c>
      <c r="N235" s="177"/>
    </row>
    <row r="236" ht="15.75" customHeight="1">
      <c r="B236" s="180" t="str">
        <f t="shared" si="1"/>
        <v/>
      </c>
      <c r="C236" s="180" t="str">
        <f t="shared" si="2"/>
        <v/>
      </c>
      <c r="D236" s="180" t="str">
        <f t="shared" si="15"/>
        <v/>
      </c>
      <c r="E236" s="180" t="str">
        <f t="shared" si="4"/>
        <v/>
      </c>
      <c r="H236" s="181"/>
      <c r="I236" s="182"/>
      <c r="J236" s="183" t="s">
        <v>690</v>
      </c>
      <c r="K236" s="183" t="s">
        <v>691</v>
      </c>
      <c r="N236" s="177"/>
    </row>
    <row r="237" ht="15.75" customHeight="1">
      <c r="B237" s="180" t="str">
        <f t="shared" si="1"/>
        <v/>
      </c>
      <c r="C237" s="180" t="str">
        <f t="shared" si="2"/>
        <v/>
      </c>
      <c r="D237" s="180" t="str">
        <f t="shared" si="15"/>
        <v/>
      </c>
      <c r="E237" s="180" t="str">
        <f t="shared" si="4"/>
        <v/>
      </c>
      <c r="H237" s="181"/>
      <c r="I237" s="182"/>
      <c r="J237" s="183" t="s">
        <v>692</v>
      </c>
      <c r="K237" s="183" t="s">
        <v>693</v>
      </c>
      <c r="N237" s="177"/>
    </row>
    <row r="238" ht="15.75" customHeight="1">
      <c r="B238" s="180" t="str">
        <f t="shared" si="1"/>
        <v/>
      </c>
      <c r="C238" s="180" t="str">
        <f t="shared" si="2"/>
        <v/>
      </c>
      <c r="D238" s="180" t="str">
        <f t="shared" si="15"/>
        <v/>
      </c>
      <c r="E238" s="180" t="str">
        <f t="shared" si="4"/>
        <v/>
      </c>
      <c r="H238" s="181"/>
      <c r="I238" s="182"/>
      <c r="J238" s="183" t="s">
        <v>694</v>
      </c>
      <c r="K238" s="183" t="s">
        <v>695</v>
      </c>
      <c r="N238" s="177"/>
    </row>
    <row r="239" ht="15.75" customHeight="1">
      <c r="B239" s="180" t="str">
        <f t="shared" si="1"/>
        <v/>
      </c>
      <c r="C239" s="180" t="str">
        <f t="shared" si="2"/>
        <v/>
      </c>
      <c r="D239" s="180" t="str">
        <f t="shared" si="15"/>
        <v/>
      </c>
      <c r="E239" s="180" t="str">
        <f t="shared" si="4"/>
        <v/>
      </c>
      <c r="H239" s="181"/>
      <c r="I239" s="182"/>
      <c r="J239" s="183" t="s">
        <v>696</v>
      </c>
      <c r="K239" s="183" t="s">
        <v>697</v>
      </c>
      <c r="N239" s="177"/>
    </row>
    <row r="240" ht="15.75" customHeight="1">
      <c r="B240" s="180" t="str">
        <f t="shared" si="1"/>
        <v/>
      </c>
      <c r="C240" s="180" t="str">
        <f t="shared" si="2"/>
        <v/>
      </c>
      <c r="D240" s="180" t="str">
        <f t="shared" si="15"/>
        <v/>
      </c>
      <c r="E240" s="180" t="str">
        <f t="shared" si="4"/>
        <v/>
      </c>
      <c r="H240" s="181"/>
      <c r="I240" s="182"/>
      <c r="J240" s="183" t="s">
        <v>698</v>
      </c>
      <c r="K240" s="183" t="s">
        <v>699</v>
      </c>
      <c r="N240" s="177"/>
    </row>
    <row r="241" ht="15.75" customHeight="1">
      <c r="B241" s="180" t="str">
        <f t="shared" si="1"/>
        <v/>
      </c>
      <c r="C241" s="180" t="str">
        <f t="shared" si="2"/>
        <v/>
      </c>
      <c r="D241" s="180" t="str">
        <f t="shared" si="15"/>
        <v/>
      </c>
      <c r="E241" s="180" t="str">
        <f t="shared" si="4"/>
        <v/>
      </c>
      <c r="H241" s="181"/>
      <c r="I241" s="182"/>
      <c r="J241" s="183" t="s">
        <v>700</v>
      </c>
      <c r="K241" s="183" t="s">
        <v>701</v>
      </c>
      <c r="N241" s="177"/>
    </row>
    <row r="242" ht="15.75" customHeight="1">
      <c r="B242" s="180" t="str">
        <f t="shared" si="1"/>
        <v/>
      </c>
      <c r="C242" s="180" t="str">
        <f t="shared" si="2"/>
        <v/>
      </c>
      <c r="D242" s="180" t="str">
        <f t="shared" si="15"/>
        <v/>
      </c>
      <c r="E242" s="180" t="str">
        <f t="shared" si="4"/>
        <v/>
      </c>
      <c r="H242" s="181"/>
      <c r="I242" s="182"/>
      <c r="J242" s="183" t="s">
        <v>702</v>
      </c>
      <c r="K242" s="183" t="s">
        <v>703</v>
      </c>
      <c r="N242" s="177"/>
    </row>
    <row r="243" ht="15.75" customHeight="1">
      <c r="B243" s="180" t="str">
        <f t="shared" si="1"/>
        <v/>
      </c>
      <c r="C243" s="180" t="str">
        <f t="shared" si="2"/>
        <v/>
      </c>
      <c r="D243" s="180" t="str">
        <f t="shared" si="15"/>
        <v/>
      </c>
      <c r="E243" s="180" t="str">
        <f t="shared" si="4"/>
        <v/>
      </c>
      <c r="H243" s="181"/>
      <c r="I243" s="182"/>
      <c r="J243" s="183" t="s">
        <v>704</v>
      </c>
      <c r="K243" s="183" t="s">
        <v>705</v>
      </c>
      <c r="N243" s="177"/>
    </row>
    <row r="244" ht="15.75" customHeight="1">
      <c r="B244" s="180" t="str">
        <f t="shared" si="1"/>
        <v/>
      </c>
      <c r="C244" s="180" t="str">
        <f t="shared" si="2"/>
        <v/>
      </c>
      <c r="D244" s="180" t="str">
        <f t="shared" si="15"/>
        <v/>
      </c>
      <c r="E244" s="180" t="str">
        <f t="shared" si="4"/>
        <v/>
      </c>
      <c r="H244" s="181"/>
      <c r="I244" s="182"/>
      <c r="J244" s="183" t="s">
        <v>706</v>
      </c>
      <c r="K244" s="183" t="s">
        <v>707</v>
      </c>
      <c r="N244" s="177"/>
    </row>
    <row r="245" ht="15.75" customHeight="1">
      <c r="B245" s="180" t="str">
        <f t="shared" si="1"/>
        <v/>
      </c>
      <c r="C245" s="180" t="str">
        <f t="shared" si="2"/>
        <v/>
      </c>
      <c r="D245" s="180" t="str">
        <f t="shared" si="15"/>
        <v/>
      </c>
      <c r="E245" s="180" t="str">
        <f t="shared" si="4"/>
        <v/>
      </c>
      <c r="H245" s="181"/>
      <c r="I245" s="182"/>
      <c r="J245" s="183" t="s">
        <v>708</v>
      </c>
      <c r="K245" s="183" t="s">
        <v>709</v>
      </c>
      <c r="N245" s="177"/>
    </row>
    <row r="246" ht="15.75" customHeight="1">
      <c r="B246" s="180" t="str">
        <f t="shared" si="1"/>
        <v/>
      </c>
      <c r="C246" s="180" t="str">
        <f t="shared" si="2"/>
        <v/>
      </c>
      <c r="D246" s="180" t="str">
        <f t="shared" si="15"/>
        <v/>
      </c>
      <c r="E246" s="180" t="str">
        <f t="shared" si="4"/>
        <v/>
      </c>
      <c r="H246" s="181"/>
      <c r="I246" s="182"/>
      <c r="J246" s="183" t="s">
        <v>710</v>
      </c>
      <c r="K246" s="183" t="s">
        <v>711</v>
      </c>
      <c r="N246" s="177"/>
    </row>
    <row r="247" ht="15.75" customHeight="1">
      <c r="B247" s="180" t="str">
        <f t="shared" si="1"/>
        <v/>
      </c>
      <c r="C247" s="180" t="str">
        <f t="shared" si="2"/>
        <v/>
      </c>
      <c r="D247" s="180" t="str">
        <f t="shared" si="15"/>
        <v/>
      </c>
      <c r="E247" s="180" t="str">
        <f t="shared" si="4"/>
        <v/>
      </c>
      <c r="H247" s="181"/>
      <c r="I247" s="182"/>
      <c r="J247" s="183" t="s">
        <v>712</v>
      </c>
      <c r="K247" s="183" t="s">
        <v>713</v>
      </c>
      <c r="N247" s="177"/>
    </row>
    <row r="248" ht="15.75" customHeight="1">
      <c r="B248" s="180" t="str">
        <f t="shared" si="1"/>
        <v/>
      </c>
      <c r="C248" s="180" t="str">
        <f t="shared" si="2"/>
        <v/>
      </c>
      <c r="D248" s="180" t="str">
        <f t="shared" si="15"/>
        <v/>
      </c>
      <c r="E248" s="180" t="str">
        <f t="shared" si="4"/>
        <v/>
      </c>
      <c r="H248" s="181"/>
      <c r="I248" s="182"/>
      <c r="J248" s="183" t="s">
        <v>714</v>
      </c>
      <c r="K248" s="183" t="s">
        <v>715</v>
      </c>
      <c r="N248" s="177"/>
    </row>
    <row r="249" ht="15.75" customHeight="1">
      <c r="B249" s="180" t="str">
        <f t="shared" si="1"/>
        <v/>
      </c>
      <c r="C249" s="180" t="str">
        <f t="shared" si="2"/>
        <v/>
      </c>
      <c r="D249" s="180" t="str">
        <f t="shared" si="15"/>
        <v/>
      </c>
      <c r="E249" s="180" t="str">
        <f t="shared" si="4"/>
        <v/>
      </c>
      <c r="H249" s="181"/>
      <c r="I249" s="182"/>
      <c r="J249" s="183" t="s">
        <v>716</v>
      </c>
      <c r="K249" s="183" t="s">
        <v>717</v>
      </c>
      <c r="N249" s="177"/>
    </row>
    <row r="250" ht="15.75" customHeight="1">
      <c r="B250" s="180" t="str">
        <f t="shared" si="1"/>
        <v/>
      </c>
      <c r="C250" s="180" t="str">
        <f t="shared" si="2"/>
        <v/>
      </c>
      <c r="D250" s="180" t="str">
        <f t="shared" si="15"/>
        <v/>
      </c>
      <c r="E250" s="180" t="str">
        <f t="shared" si="4"/>
        <v/>
      </c>
      <c r="H250" s="181"/>
      <c r="I250" s="182"/>
      <c r="J250" s="183" t="s">
        <v>718</v>
      </c>
      <c r="K250" s="183" t="s">
        <v>719</v>
      </c>
      <c r="N250" s="177"/>
    </row>
    <row r="251" ht="15.75" customHeight="1">
      <c r="B251" s="180" t="str">
        <f t="shared" si="1"/>
        <v/>
      </c>
      <c r="C251" s="180" t="str">
        <f t="shared" si="2"/>
        <v/>
      </c>
      <c r="D251" s="180" t="str">
        <f t="shared" si="15"/>
        <v/>
      </c>
      <c r="E251" s="180" t="str">
        <f t="shared" si="4"/>
        <v/>
      </c>
      <c r="H251" s="181"/>
      <c r="I251" s="182"/>
      <c r="J251" s="183" t="s">
        <v>720</v>
      </c>
      <c r="K251" s="183" t="s">
        <v>721</v>
      </c>
      <c r="N251" s="177"/>
    </row>
    <row r="252" ht="15.75" customHeight="1">
      <c r="B252" s="180" t="str">
        <f t="shared" si="1"/>
        <v/>
      </c>
      <c r="C252" s="180" t="str">
        <f t="shared" si="2"/>
        <v/>
      </c>
      <c r="D252" s="180" t="str">
        <f t="shared" si="15"/>
        <v/>
      </c>
      <c r="E252" s="180" t="str">
        <f t="shared" si="4"/>
        <v/>
      </c>
      <c r="H252" s="181"/>
      <c r="I252" s="182"/>
      <c r="J252" s="183" t="s">
        <v>722</v>
      </c>
      <c r="K252" s="183" t="s">
        <v>723</v>
      </c>
      <c r="N252" s="177"/>
    </row>
    <row r="253" ht="15.75" customHeight="1">
      <c r="B253" s="180" t="str">
        <f t="shared" si="1"/>
        <v/>
      </c>
      <c r="C253" s="180" t="str">
        <f t="shared" si="2"/>
        <v/>
      </c>
      <c r="D253" s="180" t="str">
        <f t="shared" si="15"/>
        <v/>
      </c>
      <c r="E253" s="180" t="str">
        <f t="shared" si="4"/>
        <v/>
      </c>
      <c r="H253" s="181"/>
      <c r="I253" s="182"/>
      <c r="J253" s="183" t="s">
        <v>724</v>
      </c>
      <c r="K253" s="183" t="s">
        <v>725</v>
      </c>
      <c r="N253" s="177"/>
    </row>
    <row r="254" ht="15.75" customHeight="1">
      <c r="B254" s="180" t="str">
        <f t="shared" si="1"/>
        <v/>
      </c>
      <c r="C254" s="180" t="str">
        <f t="shared" si="2"/>
        <v/>
      </c>
      <c r="D254" s="180" t="str">
        <f t="shared" si="15"/>
        <v/>
      </c>
      <c r="E254" s="180" t="str">
        <f t="shared" si="4"/>
        <v/>
      </c>
      <c r="H254" s="181"/>
      <c r="I254" s="182"/>
      <c r="J254" s="183" t="s">
        <v>726</v>
      </c>
      <c r="K254" s="183" t="s">
        <v>727</v>
      </c>
      <c r="N254" s="177"/>
    </row>
    <row r="255" ht="15.75" customHeight="1">
      <c r="B255" s="180" t="str">
        <f t="shared" si="1"/>
        <v/>
      </c>
      <c r="C255" s="180" t="str">
        <f t="shared" si="2"/>
        <v/>
      </c>
      <c r="D255" s="180" t="str">
        <f t="shared" si="15"/>
        <v/>
      </c>
      <c r="E255" s="180" t="str">
        <f t="shared" si="4"/>
        <v/>
      </c>
      <c r="H255" s="181"/>
      <c r="I255" s="182"/>
      <c r="J255" s="183" t="s">
        <v>728</v>
      </c>
      <c r="K255" s="183" t="s">
        <v>729</v>
      </c>
      <c r="N255" s="177"/>
    </row>
    <row r="256" ht="15.75" customHeight="1">
      <c r="B256" s="180" t="str">
        <f t="shared" si="1"/>
        <v/>
      </c>
      <c r="C256" s="180" t="str">
        <f t="shared" si="2"/>
        <v/>
      </c>
      <c r="D256" s="180" t="str">
        <f t="shared" si="15"/>
        <v/>
      </c>
      <c r="E256" s="180" t="str">
        <f t="shared" si="4"/>
        <v/>
      </c>
      <c r="H256" s="181"/>
      <c r="I256" s="182"/>
      <c r="J256" s="183" t="s">
        <v>730</v>
      </c>
      <c r="K256" s="183" t="s">
        <v>731</v>
      </c>
      <c r="N256" s="177"/>
    </row>
    <row r="257" ht="15.75" customHeight="1">
      <c r="B257" s="180" t="str">
        <f t="shared" si="1"/>
        <v/>
      </c>
      <c r="C257" s="180" t="str">
        <f t="shared" si="2"/>
        <v/>
      </c>
      <c r="D257" s="180" t="str">
        <f t="shared" si="15"/>
        <v/>
      </c>
      <c r="E257" s="180" t="str">
        <f t="shared" si="4"/>
        <v/>
      </c>
      <c r="H257" s="181"/>
      <c r="I257" s="182"/>
      <c r="J257" s="183" t="s">
        <v>732</v>
      </c>
      <c r="K257" s="183" t="s">
        <v>733</v>
      </c>
      <c r="N257" s="177"/>
    </row>
    <row r="258" ht="15.75" customHeight="1">
      <c r="B258" s="180" t="str">
        <f t="shared" si="1"/>
        <v/>
      </c>
      <c r="C258" s="180" t="str">
        <f t="shared" si="2"/>
        <v/>
      </c>
      <c r="D258" s="180" t="str">
        <f t="shared" si="15"/>
        <v/>
      </c>
      <c r="E258" s="180" t="str">
        <f t="shared" si="4"/>
        <v/>
      </c>
      <c r="H258" s="181"/>
      <c r="I258" s="182"/>
      <c r="J258" s="183" t="s">
        <v>734</v>
      </c>
      <c r="K258" s="183" t="s">
        <v>735</v>
      </c>
      <c r="N258" s="177"/>
    </row>
    <row r="259" ht="15.75" customHeight="1">
      <c r="B259" s="180" t="str">
        <f t="shared" si="1"/>
        <v/>
      </c>
      <c r="C259" s="180" t="str">
        <f t="shared" si="2"/>
        <v/>
      </c>
      <c r="D259" s="180" t="str">
        <f t="shared" si="15"/>
        <v/>
      </c>
      <c r="E259" s="180" t="str">
        <f t="shared" si="4"/>
        <v/>
      </c>
      <c r="H259" s="181"/>
      <c r="I259" s="182"/>
      <c r="J259" s="183" t="s">
        <v>736</v>
      </c>
      <c r="K259" s="183" t="s">
        <v>737</v>
      </c>
      <c r="N259" s="177"/>
    </row>
    <row r="260" ht="15.75" customHeight="1">
      <c r="B260" s="180" t="str">
        <f t="shared" si="1"/>
        <v/>
      </c>
      <c r="C260" s="180" t="str">
        <f t="shared" si="2"/>
        <v/>
      </c>
      <c r="D260" s="180" t="str">
        <f t="shared" si="15"/>
        <v/>
      </c>
      <c r="E260" s="180" t="str">
        <f t="shared" si="4"/>
        <v/>
      </c>
      <c r="H260" s="181"/>
      <c r="I260" s="182"/>
      <c r="J260" s="183" t="s">
        <v>738</v>
      </c>
      <c r="K260" s="183" t="s">
        <v>739</v>
      </c>
      <c r="N260" s="177"/>
    </row>
    <row r="261" ht="15.75" customHeight="1">
      <c r="B261" s="180" t="str">
        <f t="shared" si="1"/>
        <v/>
      </c>
      <c r="C261" s="180" t="str">
        <f t="shared" si="2"/>
        <v/>
      </c>
      <c r="D261" s="180" t="str">
        <f t="shared" si="15"/>
        <v/>
      </c>
      <c r="E261" s="180" t="str">
        <f t="shared" si="4"/>
        <v/>
      </c>
      <c r="H261" s="181"/>
      <c r="I261" s="182"/>
      <c r="J261" s="183" t="s">
        <v>740</v>
      </c>
      <c r="K261" s="183" t="s">
        <v>741</v>
      </c>
      <c r="N261" s="177"/>
    </row>
    <row r="262" ht="15.75" customHeight="1">
      <c r="B262" s="180" t="str">
        <f t="shared" si="1"/>
        <v/>
      </c>
      <c r="C262" s="180" t="str">
        <f t="shared" si="2"/>
        <v/>
      </c>
      <c r="D262" s="180" t="str">
        <f t="shared" si="15"/>
        <v/>
      </c>
      <c r="E262" s="180" t="str">
        <f t="shared" si="4"/>
        <v/>
      </c>
      <c r="H262" s="181"/>
      <c r="I262" s="182"/>
      <c r="J262" s="183" t="s">
        <v>742</v>
      </c>
      <c r="K262" s="183" t="s">
        <v>743</v>
      </c>
      <c r="N262" s="177"/>
    </row>
    <row r="263" ht="15.75" customHeight="1">
      <c r="B263" s="180" t="str">
        <f t="shared" si="1"/>
        <v/>
      </c>
      <c r="C263" s="180" t="str">
        <f t="shared" si="2"/>
        <v/>
      </c>
      <c r="D263" s="180" t="str">
        <f t="shared" si="15"/>
        <v/>
      </c>
      <c r="E263" s="180" t="str">
        <f t="shared" si="4"/>
        <v/>
      </c>
      <c r="H263" s="181"/>
      <c r="I263" s="182"/>
      <c r="J263" s="183" t="s">
        <v>744</v>
      </c>
      <c r="K263" s="183" t="s">
        <v>745</v>
      </c>
      <c r="N263" s="177"/>
    </row>
    <row r="264" ht="15.75" customHeight="1">
      <c r="B264" s="180" t="str">
        <f t="shared" si="1"/>
        <v/>
      </c>
      <c r="C264" s="180" t="str">
        <f t="shared" si="2"/>
        <v/>
      </c>
      <c r="D264" s="180" t="str">
        <f t="shared" si="15"/>
        <v/>
      </c>
      <c r="E264" s="180" t="str">
        <f t="shared" si="4"/>
        <v/>
      </c>
      <c r="H264" s="181"/>
      <c r="I264" s="182"/>
      <c r="J264" s="183" t="s">
        <v>746</v>
      </c>
      <c r="K264" s="183" t="s">
        <v>747</v>
      </c>
      <c r="N264" s="177"/>
    </row>
    <row r="265" ht="15.75" customHeight="1">
      <c r="B265" s="180" t="str">
        <f t="shared" si="1"/>
        <v/>
      </c>
      <c r="C265" s="180" t="str">
        <f t="shared" si="2"/>
        <v/>
      </c>
      <c r="D265" s="180" t="str">
        <f t="shared" si="15"/>
        <v/>
      </c>
      <c r="E265" s="180" t="str">
        <f t="shared" si="4"/>
        <v/>
      </c>
      <c r="H265" s="181"/>
      <c r="I265" s="182"/>
      <c r="J265" s="183" t="s">
        <v>748</v>
      </c>
      <c r="K265" s="183" t="s">
        <v>749</v>
      </c>
      <c r="N265" s="177"/>
    </row>
    <row r="266" ht="15.75" customHeight="1">
      <c r="B266" s="180" t="str">
        <f t="shared" si="1"/>
        <v/>
      </c>
      <c r="C266" s="180" t="str">
        <f t="shared" si="2"/>
        <v/>
      </c>
      <c r="D266" s="180" t="str">
        <f t="shared" si="15"/>
        <v/>
      </c>
      <c r="E266" s="180" t="str">
        <f t="shared" si="4"/>
        <v/>
      </c>
      <c r="H266" s="181"/>
      <c r="I266" s="182"/>
      <c r="J266" s="183" t="s">
        <v>750</v>
      </c>
      <c r="K266" s="183" t="s">
        <v>751</v>
      </c>
      <c r="N266" s="177"/>
    </row>
    <row r="267" ht="15.75" customHeight="1">
      <c r="B267" s="180" t="str">
        <f t="shared" si="1"/>
        <v/>
      </c>
      <c r="C267" s="180" t="str">
        <f t="shared" si="2"/>
        <v/>
      </c>
      <c r="D267" s="180" t="str">
        <f t="shared" si="15"/>
        <v/>
      </c>
      <c r="E267" s="180" t="str">
        <f t="shared" si="4"/>
        <v/>
      </c>
      <c r="H267" s="181"/>
      <c r="I267" s="182"/>
      <c r="J267" s="183" t="s">
        <v>752</v>
      </c>
      <c r="K267" s="183" t="s">
        <v>753</v>
      </c>
      <c r="N267" s="177"/>
    </row>
    <row r="268" ht="15.75" customHeight="1">
      <c r="B268" s="180" t="str">
        <f t="shared" si="1"/>
        <v/>
      </c>
      <c r="C268" s="180" t="str">
        <f t="shared" si="2"/>
        <v/>
      </c>
      <c r="D268" s="180" t="str">
        <f t="shared" si="15"/>
        <v/>
      </c>
      <c r="E268" s="180" t="str">
        <f t="shared" si="4"/>
        <v/>
      </c>
      <c r="H268" s="181"/>
      <c r="I268" s="182"/>
      <c r="J268" s="183" t="s">
        <v>754</v>
      </c>
      <c r="K268" s="183" t="s">
        <v>755</v>
      </c>
      <c r="N268" s="177"/>
    </row>
    <row r="269" ht="15.75" customHeight="1">
      <c r="B269" s="180" t="str">
        <f t="shared" si="1"/>
        <v/>
      </c>
      <c r="C269" s="180" t="str">
        <f t="shared" si="2"/>
        <v/>
      </c>
      <c r="D269" s="180" t="str">
        <f t="shared" si="15"/>
        <v/>
      </c>
      <c r="E269" s="180" t="str">
        <f t="shared" si="4"/>
        <v/>
      </c>
      <c r="H269" s="181"/>
      <c r="I269" s="182"/>
      <c r="J269" s="183" t="s">
        <v>756</v>
      </c>
      <c r="K269" s="183" t="s">
        <v>757</v>
      </c>
      <c r="N269" s="177"/>
    </row>
    <row r="270" ht="15.75" customHeight="1">
      <c r="B270" s="180" t="str">
        <f t="shared" si="1"/>
        <v/>
      </c>
      <c r="C270" s="180" t="str">
        <f t="shared" si="2"/>
        <v/>
      </c>
      <c r="D270" s="180" t="str">
        <f t="shared" si="15"/>
        <v/>
      </c>
      <c r="E270" s="180" t="str">
        <f t="shared" si="4"/>
        <v/>
      </c>
      <c r="H270" s="181"/>
      <c r="I270" s="182"/>
      <c r="J270" s="183" t="s">
        <v>758</v>
      </c>
      <c r="K270" s="183" t="s">
        <v>759</v>
      </c>
      <c r="N270" s="177"/>
    </row>
    <row r="271" ht="15.75" customHeight="1">
      <c r="B271" s="180" t="str">
        <f t="shared" si="1"/>
        <v/>
      </c>
      <c r="C271" s="180" t="str">
        <f t="shared" si="2"/>
        <v/>
      </c>
      <c r="D271" s="180" t="str">
        <f t="shared" si="15"/>
        <v/>
      </c>
      <c r="E271" s="180" t="str">
        <f t="shared" si="4"/>
        <v/>
      </c>
      <c r="H271" s="181"/>
      <c r="I271" s="182"/>
      <c r="J271" s="183" t="s">
        <v>760</v>
      </c>
      <c r="K271" s="183" t="s">
        <v>761</v>
      </c>
      <c r="N271" s="177"/>
    </row>
    <row r="272" ht="15.75" customHeight="1">
      <c r="B272" s="180" t="str">
        <f t="shared" si="1"/>
        <v/>
      </c>
      <c r="C272" s="180" t="str">
        <f t="shared" si="2"/>
        <v/>
      </c>
      <c r="D272" s="180" t="str">
        <f t="shared" si="15"/>
        <v/>
      </c>
      <c r="E272" s="180" t="str">
        <f t="shared" si="4"/>
        <v/>
      </c>
      <c r="H272" s="181"/>
      <c r="I272" s="182"/>
      <c r="J272" s="183" t="s">
        <v>762</v>
      </c>
      <c r="K272" s="183" t="s">
        <v>763</v>
      </c>
      <c r="N272" s="177"/>
    </row>
    <row r="273" ht="15.75" customHeight="1">
      <c r="B273" s="180" t="str">
        <f t="shared" si="1"/>
        <v/>
      </c>
      <c r="C273" s="180" t="str">
        <f t="shared" si="2"/>
        <v/>
      </c>
      <c r="D273" s="180" t="str">
        <f t="shared" si="15"/>
        <v/>
      </c>
      <c r="E273" s="180" t="str">
        <f t="shared" si="4"/>
        <v/>
      </c>
      <c r="H273" s="181"/>
      <c r="I273" s="182"/>
      <c r="J273" s="183" t="s">
        <v>764</v>
      </c>
      <c r="K273" s="183" t="s">
        <v>765</v>
      </c>
      <c r="N273" s="177"/>
    </row>
    <row r="274" ht="15.75" customHeight="1">
      <c r="B274" s="180" t="str">
        <f t="shared" si="1"/>
        <v/>
      </c>
      <c r="C274" s="180" t="str">
        <f t="shared" si="2"/>
        <v/>
      </c>
      <c r="D274" s="180" t="str">
        <f t="shared" si="15"/>
        <v/>
      </c>
      <c r="E274" s="180" t="str">
        <f t="shared" si="4"/>
        <v/>
      </c>
      <c r="H274" s="181"/>
      <c r="I274" s="182"/>
      <c r="J274" s="183" t="s">
        <v>766</v>
      </c>
      <c r="K274" s="183" t="s">
        <v>767</v>
      </c>
      <c r="N274" s="177"/>
    </row>
    <row r="275" ht="15.75" customHeight="1">
      <c r="B275" s="180" t="str">
        <f t="shared" si="1"/>
        <v/>
      </c>
      <c r="C275" s="180" t="str">
        <f t="shared" si="2"/>
        <v/>
      </c>
      <c r="D275" s="180" t="str">
        <f t="shared" si="15"/>
        <v/>
      </c>
      <c r="E275" s="180" t="str">
        <f t="shared" si="4"/>
        <v/>
      </c>
      <c r="H275" s="181"/>
      <c r="I275" s="182"/>
      <c r="J275" s="183" t="s">
        <v>768</v>
      </c>
      <c r="K275" s="183" t="s">
        <v>769</v>
      </c>
      <c r="N275" s="177"/>
    </row>
    <row r="276" ht="15.75" customHeight="1">
      <c r="B276" s="180" t="str">
        <f t="shared" si="1"/>
        <v/>
      </c>
      <c r="C276" s="180" t="str">
        <f t="shared" si="2"/>
        <v/>
      </c>
      <c r="D276" s="180" t="str">
        <f t="shared" si="15"/>
        <v/>
      </c>
      <c r="E276" s="180" t="str">
        <f t="shared" si="4"/>
        <v/>
      </c>
      <c r="H276" s="181"/>
      <c r="I276" s="182"/>
      <c r="J276" s="183" t="s">
        <v>770</v>
      </c>
      <c r="K276" s="183" t="s">
        <v>771</v>
      </c>
      <c r="N276" s="177"/>
    </row>
    <row r="277" ht="15.75" customHeight="1">
      <c r="B277" s="180" t="str">
        <f t="shared" si="1"/>
        <v/>
      </c>
      <c r="C277" s="180" t="str">
        <f t="shared" si="2"/>
        <v/>
      </c>
      <c r="D277" s="180" t="str">
        <f t="shared" si="15"/>
        <v/>
      </c>
      <c r="E277" s="180" t="str">
        <f t="shared" si="4"/>
        <v/>
      </c>
      <c r="H277" s="181"/>
      <c r="I277" s="182"/>
      <c r="J277" s="183" t="s">
        <v>772</v>
      </c>
      <c r="K277" s="183" t="s">
        <v>773</v>
      </c>
      <c r="N277" s="177"/>
    </row>
    <row r="278" ht="15.75" customHeight="1">
      <c r="B278" s="180" t="str">
        <f t="shared" si="1"/>
        <v/>
      </c>
      <c r="C278" s="180" t="str">
        <f t="shared" si="2"/>
        <v/>
      </c>
      <c r="D278" s="180" t="str">
        <f t="shared" si="15"/>
        <v/>
      </c>
      <c r="E278" s="180" t="str">
        <f t="shared" si="4"/>
        <v/>
      </c>
      <c r="H278" s="181"/>
      <c r="I278" s="182"/>
      <c r="J278" s="183" t="s">
        <v>774</v>
      </c>
      <c r="K278" s="183" t="s">
        <v>775</v>
      </c>
      <c r="N278" s="177"/>
    </row>
    <row r="279" ht="15.75" customHeight="1">
      <c r="B279" s="180" t="str">
        <f t="shared" si="1"/>
        <v/>
      </c>
      <c r="C279" s="180" t="str">
        <f t="shared" si="2"/>
        <v/>
      </c>
      <c r="D279" s="180" t="str">
        <f t="shared" si="15"/>
        <v/>
      </c>
      <c r="E279" s="180" t="str">
        <f t="shared" si="4"/>
        <v/>
      </c>
      <c r="H279" s="181"/>
      <c r="I279" s="182"/>
      <c r="J279" s="183" t="s">
        <v>776</v>
      </c>
      <c r="K279" s="183" t="s">
        <v>777</v>
      </c>
      <c r="N279" s="177"/>
    </row>
    <row r="280" ht="15.75" customHeight="1">
      <c r="B280" s="180" t="str">
        <f t="shared" si="1"/>
        <v/>
      </c>
      <c r="C280" s="180" t="str">
        <f t="shared" si="2"/>
        <v/>
      </c>
      <c r="D280" s="180" t="str">
        <f t="shared" si="15"/>
        <v/>
      </c>
      <c r="E280" s="180" t="str">
        <f t="shared" si="4"/>
        <v/>
      </c>
      <c r="H280" s="181"/>
      <c r="I280" s="182"/>
      <c r="J280" s="183" t="s">
        <v>778</v>
      </c>
      <c r="K280" s="183" t="s">
        <v>779</v>
      </c>
      <c r="N280" s="177"/>
    </row>
    <row r="281" ht="15.75" customHeight="1">
      <c r="B281" s="180" t="str">
        <f t="shared" si="1"/>
        <v/>
      </c>
      <c r="C281" s="180" t="str">
        <f t="shared" si="2"/>
        <v/>
      </c>
      <c r="D281" s="180" t="str">
        <f t="shared" si="15"/>
        <v/>
      </c>
      <c r="E281" s="180" t="str">
        <f t="shared" si="4"/>
        <v/>
      </c>
      <c r="H281" s="181"/>
      <c r="I281" s="182"/>
      <c r="J281" s="183" t="s">
        <v>780</v>
      </c>
      <c r="K281" s="183" t="s">
        <v>781</v>
      </c>
      <c r="N281" s="177"/>
    </row>
    <row r="282" ht="15.75" customHeight="1">
      <c r="B282" s="180" t="str">
        <f t="shared" si="1"/>
        <v/>
      </c>
      <c r="C282" s="180" t="str">
        <f t="shared" si="2"/>
        <v/>
      </c>
      <c r="D282" s="180" t="str">
        <f t="shared" si="15"/>
        <v/>
      </c>
      <c r="E282" s="180" t="str">
        <f t="shared" si="4"/>
        <v/>
      </c>
      <c r="H282" s="181"/>
      <c r="I282" s="182"/>
      <c r="J282" s="183" t="s">
        <v>782</v>
      </c>
      <c r="K282" s="183" t="s">
        <v>783</v>
      </c>
      <c r="N282" s="177"/>
    </row>
    <row r="283" ht="15.75" customHeight="1">
      <c r="B283" s="180" t="str">
        <f t="shared" si="1"/>
        <v/>
      </c>
      <c r="C283" s="180" t="str">
        <f t="shared" si="2"/>
        <v/>
      </c>
      <c r="D283" s="180" t="str">
        <f t="shared" si="15"/>
        <v/>
      </c>
      <c r="E283" s="180" t="str">
        <f t="shared" si="4"/>
        <v/>
      </c>
      <c r="H283" s="181"/>
      <c r="I283" s="182"/>
      <c r="J283" s="183" t="s">
        <v>784</v>
      </c>
      <c r="K283" s="183" t="s">
        <v>785</v>
      </c>
      <c r="N283" s="177"/>
    </row>
    <row r="284" ht="15.75" customHeight="1">
      <c r="B284" s="180" t="str">
        <f t="shared" si="1"/>
        <v/>
      </c>
      <c r="C284" s="180" t="str">
        <f t="shared" si="2"/>
        <v/>
      </c>
      <c r="D284" s="180" t="str">
        <f t="shared" si="15"/>
        <v/>
      </c>
      <c r="E284" s="180" t="str">
        <f t="shared" si="4"/>
        <v/>
      </c>
      <c r="H284" s="181"/>
      <c r="I284" s="182"/>
      <c r="J284" s="183" t="s">
        <v>786</v>
      </c>
      <c r="K284" s="183" t="s">
        <v>787</v>
      </c>
      <c r="N284" s="177"/>
    </row>
    <row r="285" ht="15.75" customHeight="1">
      <c r="B285" s="180" t="str">
        <f t="shared" si="1"/>
        <v/>
      </c>
      <c r="C285" s="180" t="str">
        <f t="shared" si="2"/>
        <v/>
      </c>
      <c r="D285" s="180" t="str">
        <f t="shared" si="15"/>
        <v/>
      </c>
      <c r="E285" s="180" t="str">
        <f t="shared" si="4"/>
        <v/>
      </c>
      <c r="H285" s="181"/>
      <c r="I285" s="182"/>
      <c r="J285" s="183" t="s">
        <v>788</v>
      </c>
      <c r="K285" s="183" t="s">
        <v>789</v>
      </c>
      <c r="N285" s="177"/>
    </row>
    <row r="286" ht="15.75" customHeight="1">
      <c r="B286" s="180" t="str">
        <f t="shared" si="1"/>
        <v/>
      </c>
      <c r="C286" s="180" t="str">
        <f t="shared" si="2"/>
        <v/>
      </c>
      <c r="D286" s="180" t="str">
        <f t="shared" si="15"/>
        <v/>
      </c>
      <c r="E286" s="180" t="str">
        <f t="shared" si="4"/>
        <v/>
      </c>
      <c r="H286" s="181"/>
      <c r="I286" s="182"/>
      <c r="J286" s="183" t="s">
        <v>790</v>
      </c>
      <c r="K286" s="183" t="s">
        <v>791</v>
      </c>
      <c r="N286" s="177"/>
    </row>
    <row r="287" ht="15.75" customHeight="1">
      <c r="B287" s="180" t="str">
        <f t="shared" si="1"/>
        <v/>
      </c>
      <c r="C287" s="180" t="str">
        <f t="shared" si="2"/>
        <v/>
      </c>
      <c r="D287" s="180" t="str">
        <f t="shared" si="15"/>
        <v/>
      </c>
      <c r="E287" s="180" t="str">
        <f t="shared" si="4"/>
        <v/>
      </c>
      <c r="H287" s="181"/>
      <c r="I287" s="182"/>
      <c r="J287" s="183" t="s">
        <v>792</v>
      </c>
      <c r="K287" s="183" t="s">
        <v>793</v>
      </c>
      <c r="N287" s="177"/>
    </row>
    <row r="288" ht="15.75" customHeight="1">
      <c r="B288" s="180" t="str">
        <f t="shared" si="1"/>
        <v/>
      </c>
      <c r="C288" s="180" t="str">
        <f t="shared" si="2"/>
        <v/>
      </c>
      <c r="D288" s="180" t="str">
        <f t="shared" si="15"/>
        <v/>
      </c>
      <c r="E288" s="180" t="str">
        <f t="shared" si="4"/>
        <v/>
      </c>
      <c r="H288" s="181"/>
      <c r="I288" s="182"/>
      <c r="J288" s="183" t="s">
        <v>794</v>
      </c>
      <c r="K288" s="183" t="s">
        <v>795</v>
      </c>
      <c r="N288" s="177"/>
    </row>
    <row r="289" ht="15.75" customHeight="1">
      <c r="B289" s="180" t="str">
        <f t="shared" si="1"/>
        <v/>
      </c>
      <c r="C289" s="180" t="str">
        <f t="shared" si="2"/>
        <v/>
      </c>
      <c r="D289" s="180" t="str">
        <f t="shared" si="15"/>
        <v/>
      </c>
      <c r="E289" s="180" t="str">
        <f t="shared" si="4"/>
        <v/>
      </c>
      <c r="H289" s="181"/>
      <c r="I289" s="182"/>
      <c r="J289" s="183" t="s">
        <v>796</v>
      </c>
      <c r="K289" s="183" t="s">
        <v>797</v>
      </c>
      <c r="N289" s="177"/>
    </row>
    <row r="290" ht="15.75" customHeight="1">
      <c r="B290" s="180" t="str">
        <f t="shared" si="1"/>
        <v/>
      </c>
      <c r="C290" s="180" t="str">
        <f t="shared" si="2"/>
        <v/>
      </c>
      <c r="D290" s="180" t="str">
        <f t="shared" si="15"/>
        <v/>
      </c>
      <c r="E290" s="180" t="str">
        <f t="shared" si="4"/>
        <v/>
      </c>
      <c r="H290" s="181"/>
      <c r="I290" s="182"/>
      <c r="J290" s="183" t="s">
        <v>798</v>
      </c>
      <c r="K290" s="183" t="s">
        <v>799</v>
      </c>
      <c r="N290" s="177"/>
    </row>
    <row r="291" ht="15.75" customHeight="1">
      <c r="B291" s="180" t="str">
        <f t="shared" si="1"/>
        <v/>
      </c>
      <c r="C291" s="180" t="str">
        <f t="shared" si="2"/>
        <v/>
      </c>
      <c r="D291" s="180" t="str">
        <f t="shared" si="15"/>
        <v/>
      </c>
      <c r="E291" s="180" t="str">
        <f t="shared" si="4"/>
        <v/>
      </c>
      <c r="H291" s="181"/>
      <c r="I291" s="182"/>
      <c r="J291" s="183" t="s">
        <v>800</v>
      </c>
      <c r="K291" s="183" t="s">
        <v>801</v>
      </c>
      <c r="N291" s="177"/>
    </row>
    <row r="292" ht="15.75" customHeight="1">
      <c r="B292" s="180" t="str">
        <f t="shared" si="1"/>
        <v/>
      </c>
      <c r="C292" s="180" t="str">
        <f t="shared" si="2"/>
        <v/>
      </c>
      <c r="D292" s="180" t="str">
        <f t="shared" si="15"/>
        <v/>
      </c>
      <c r="E292" s="180" t="str">
        <f t="shared" si="4"/>
        <v/>
      </c>
      <c r="H292" s="181"/>
      <c r="I292" s="182"/>
      <c r="J292" s="183" t="s">
        <v>802</v>
      </c>
      <c r="K292" s="183" t="s">
        <v>803</v>
      </c>
      <c r="N292" s="177"/>
    </row>
    <row r="293" ht="15.75" customHeight="1">
      <c r="B293" s="180" t="str">
        <f t="shared" si="1"/>
        <v/>
      </c>
      <c r="C293" s="180" t="str">
        <f t="shared" si="2"/>
        <v/>
      </c>
      <c r="D293" s="180" t="str">
        <f t="shared" si="15"/>
        <v/>
      </c>
      <c r="E293" s="180" t="str">
        <f t="shared" si="4"/>
        <v/>
      </c>
      <c r="H293" s="181"/>
      <c r="I293" s="182"/>
      <c r="J293" s="183" t="s">
        <v>804</v>
      </c>
      <c r="K293" s="183" t="s">
        <v>805</v>
      </c>
      <c r="N293" s="177"/>
    </row>
    <row r="294" ht="15.75" customHeight="1">
      <c r="B294" s="180" t="str">
        <f t="shared" si="1"/>
        <v/>
      </c>
      <c r="C294" s="180" t="str">
        <f t="shared" si="2"/>
        <v/>
      </c>
      <c r="D294" s="180" t="str">
        <f t="shared" si="15"/>
        <v/>
      </c>
      <c r="E294" s="180" t="str">
        <f t="shared" si="4"/>
        <v/>
      </c>
      <c r="H294" s="181"/>
      <c r="I294" s="182"/>
      <c r="J294" s="183" t="s">
        <v>806</v>
      </c>
      <c r="K294" s="183" t="s">
        <v>807</v>
      </c>
      <c r="N294" s="177"/>
    </row>
    <row r="295" ht="15.75" customHeight="1">
      <c r="B295" s="180" t="str">
        <f t="shared" si="1"/>
        <v/>
      </c>
      <c r="C295" s="180" t="str">
        <f t="shared" si="2"/>
        <v/>
      </c>
      <c r="D295" s="180" t="str">
        <f t="shared" si="15"/>
        <v/>
      </c>
      <c r="E295" s="180" t="str">
        <f t="shared" si="4"/>
        <v/>
      </c>
      <c r="H295" s="181"/>
      <c r="I295" s="182"/>
      <c r="J295" s="183" t="s">
        <v>808</v>
      </c>
      <c r="K295" s="183" t="s">
        <v>809</v>
      </c>
      <c r="N295" s="177"/>
    </row>
    <row r="296" ht="15.75" customHeight="1">
      <c r="B296" s="180" t="str">
        <f t="shared" si="1"/>
        <v/>
      </c>
      <c r="C296" s="180" t="str">
        <f t="shared" si="2"/>
        <v/>
      </c>
      <c r="D296" s="180" t="str">
        <f t="shared" si="15"/>
        <v/>
      </c>
      <c r="E296" s="180" t="str">
        <f t="shared" si="4"/>
        <v/>
      </c>
      <c r="H296" s="181"/>
      <c r="I296" s="182"/>
      <c r="J296" s="183" t="s">
        <v>810</v>
      </c>
      <c r="K296" s="183" t="s">
        <v>811</v>
      </c>
      <c r="N296" s="177"/>
    </row>
    <row r="297" ht="15.75" customHeight="1">
      <c r="B297" s="180" t="str">
        <f t="shared" si="1"/>
        <v/>
      </c>
      <c r="C297" s="180" t="str">
        <f t="shared" si="2"/>
        <v/>
      </c>
      <c r="D297" s="180" t="str">
        <f t="shared" si="15"/>
        <v/>
      </c>
      <c r="E297" s="180" t="str">
        <f t="shared" si="4"/>
        <v/>
      </c>
      <c r="H297" s="181"/>
      <c r="I297" s="182"/>
      <c r="J297" s="183" t="s">
        <v>812</v>
      </c>
      <c r="K297" s="183" t="s">
        <v>813</v>
      </c>
      <c r="N297" s="177"/>
    </row>
    <row r="298" ht="15.75" customHeight="1">
      <c r="D298" s="180"/>
      <c r="H298" s="181"/>
      <c r="I298" s="182"/>
      <c r="J298" s="183" t="s">
        <v>814</v>
      </c>
      <c r="K298" s="183" t="s">
        <v>815</v>
      </c>
      <c r="N298" s="177"/>
    </row>
    <row r="299" ht="15.75" customHeight="1">
      <c r="D299" s="180"/>
      <c r="H299" s="181"/>
      <c r="I299" s="182"/>
      <c r="J299" s="183" t="s">
        <v>816</v>
      </c>
      <c r="K299" s="183" t="s">
        <v>817</v>
      </c>
      <c r="N299" s="177"/>
    </row>
    <row r="300" ht="15.75" customHeight="1">
      <c r="D300" s="180"/>
      <c r="H300" s="181"/>
      <c r="I300" s="182"/>
      <c r="J300" s="183" t="s">
        <v>818</v>
      </c>
      <c r="K300" s="183" t="s">
        <v>819</v>
      </c>
      <c r="N300" s="177"/>
    </row>
    <row r="301" ht="15.75" customHeight="1">
      <c r="D301" s="180"/>
      <c r="H301" s="181"/>
      <c r="I301" s="182"/>
      <c r="J301" s="183" t="s">
        <v>820</v>
      </c>
      <c r="K301" s="183" t="s">
        <v>821</v>
      </c>
      <c r="N301" s="177"/>
    </row>
    <row r="302" ht="15.75" customHeight="1">
      <c r="D302" s="180"/>
      <c r="H302" s="181"/>
      <c r="I302" s="182"/>
      <c r="J302" s="183" t="s">
        <v>822</v>
      </c>
      <c r="K302" s="183" t="s">
        <v>823</v>
      </c>
      <c r="N302" s="177"/>
    </row>
    <row r="303" ht="15.75" customHeight="1">
      <c r="D303" s="180"/>
      <c r="H303" s="181"/>
      <c r="I303" s="182"/>
      <c r="J303" s="183" t="s">
        <v>824</v>
      </c>
      <c r="K303" s="183" t="s">
        <v>825</v>
      </c>
      <c r="N303" s="177"/>
    </row>
    <row r="304" ht="15.75" customHeight="1">
      <c r="D304" s="180"/>
      <c r="H304" s="181"/>
      <c r="I304" s="182"/>
      <c r="J304" s="183" t="s">
        <v>826</v>
      </c>
      <c r="K304" s="183" t="s">
        <v>827</v>
      </c>
      <c r="N304" s="177"/>
    </row>
    <row r="305" ht="15.75" customHeight="1">
      <c r="D305" s="180"/>
      <c r="H305" s="181"/>
      <c r="I305" s="182"/>
      <c r="J305" s="183" t="s">
        <v>828</v>
      </c>
      <c r="K305" s="183" t="s">
        <v>829</v>
      </c>
      <c r="N305" s="177"/>
    </row>
    <row r="306" ht="15.75" customHeight="1">
      <c r="D306" s="180"/>
      <c r="H306" s="181"/>
      <c r="I306" s="182"/>
      <c r="J306" s="183" t="s">
        <v>830</v>
      </c>
      <c r="K306" s="183" t="s">
        <v>831</v>
      </c>
      <c r="N306" s="177"/>
    </row>
    <row r="307" ht="15.75" customHeight="1">
      <c r="D307" s="180"/>
      <c r="H307" s="181"/>
      <c r="I307" s="182"/>
      <c r="J307" s="183" t="s">
        <v>832</v>
      </c>
      <c r="K307" s="183" t="s">
        <v>833</v>
      </c>
      <c r="N307" s="177"/>
    </row>
    <row r="308" ht="15.75" customHeight="1">
      <c r="D308" s="180"/>
      <c r="H308" s="181"/>
      <c r="I308" s="182"/>
      <c r="J308" s="183" t="s">
        <v>834</v>
      </c>
      <c r="K308" s="183" t="s">
        <v>835</v>
      </c>
      <c r="N308" s="177"/>
    </row>
    <row r="309" ht="15.75" customHeight="1">
      <c r="D309" s="180"/>
      <c r="H309" s="181"/>
      <c r="I309" s="182"/>
      <c r="J309" s="183" t="s">
        <v>836</v>
      </c>
      <c r="K309" s="183" t="s">
        <v>837</v>
      </c>
      <c r="N309" s="177"/>
    </row>
    <row r="310" ht="15.75" customHeight="1">
      <c r="D310" s="180"/>
      <c r="H310" s="181"/>
      <c r="I310" s="182"/>
      <c r="J310" s="183" t="s">
        <v>838</v>
      </c>
      <c r="K310" s="183" t="s">
        <v>839</v>
      </c>
      <c r="N310" s="177"/>
    </row>
    <row r="311" ht="15.75" customHeight="1">
      <c r="D311" s="180"/>
      <c r="H311" s="181"/>
      <c r="I311" s="182"/>
      <c r="J311" s="183" t="s">
        <v>840</v>
      </c>
      <c r="K311" s="183" t="s">
        <v>841</v>
      </c>
      <c r="N311" s="177"/>
    </row>
    <row r="312" ht="15.75" customHeight="1">
      <c r="D312" s="180"/>
      <c r="H312" s="181"/>
      <c r="I312" s="182"/>
      <c r="J312" s="183" t="s">
        <v>842</v>
      </c>
      <c r="K312" s="183" t="s">
        <v>843</v>
      </c>
      <c r="N312" s="177"/>
    </row>
    <row r="313" ht="15.75" customHeight="1">
      <c r="D313" s="180"/>
      <c r="H313" s="181"/>
      <c r="I313" s="182"/>
      <c r="J313" s="183" t="s">
        <v>844</v>
      </c>
      <c r="K313" s="183" t="s">
        <v>845</v>
      </c>
      <c r="N313" s="177"/>
    </row>
    <row r="314" ht="15.75" customHeight="1">
      <c r="D314" s="180"/>
      <c r="H314" s="181"/>
      <c r="I314" s="182"/>
      <c r="J314" s="183" t="s">
        <v>846</v>
      </c>
      <c r="K314" s="183" t="s">
        <v>847</v>
      </c>
      <c r="N314" s="177"/>
    </row>
    <row r="315" ht="15.75" customHeight="1">
      <c r="D315" s="180"/>
      <c r="H315" s="181"/>
      <c r="I315" s="182"/>
      <c r="J315" s="183" t="s">
        <v>848</v>
      </c>
      <c r="K315" s="183" t="s">
        <v>849</v>
      </c>
      <c r="N315" s="177"/>
    </row>
    <row r="316" ht="15.75" customHeight="1">
      <c r="D316" s="180"/>
      <c r="H316" s="181"/>
      <c r="I316" s="182"/>
      <c r="J316" s="183" t="s">
        <v>850</v>
      </c>
      <c r="K316" s="183" t="s">
        <v>851</v>
      </c>
      <c r="N316" s="177"/>
    </row>
    <row r="317" ht="15.75" customHeight="1">
      <c r="D317" s="180"/>
      <c r="H317" s="181"/>
      <c r="I317" s="182"/>
      <c r="J317" s="183" t="s">
        <v>852</v>
      </c>
      <c r="K317" s="183" t="s">
        <v>853</v>
      </c>
      <c r="N317" s="177"/>
    </row>
    <row r="318" ht="15.75" customHeight="1">
      <c r="D318" s="180"/>
      <c r="H318" s="181"/>
      <c r="I318" s="182"/>
      <c r="J318" s="183" t="s">
        <v>854</v>
      </c>
      <c r="K318" s="183" t="s">
        <v>855</v>
      </c>
      <c r="N318" s="177"/>
    </row>
    <row r="319" ht="15.75" customHeight="1">
      <c r="D319" s="180"/>
      <c r="H319" s="181"/>
      <c r="I319" s="182"/>
      <c r="J319" s="183" t="s">
        <v>856</v>
      </c>
      <c r="K319" s="183" t="s">
        <v>857</v>
      </c>
      <c r="N319" s="177"/>
    </row>
    <row r="320" ht="15.75" customHeight="1">
      <c r="D320" s="180"/>
      <c r="H320" s="181"/>
      <c r="I320" s="182"/>
      <c r="J320" s="183" t="s">
        <v>858</v>
      </c>
      <c r="K320" s="183" t="s">
        <v>859</v>
      </c>
      <c r="N320" s="177"/>
    </row>
    <row r="321" ht="15.75" customHeight="1">
      <c r="D321" s="180"/>
      <c r="H321" s="181"/>
      <c r="I321" s="182"/>
      <c r="J321" s="183" t="s">
        <v>860</v>
      </c>
      <c r="K321" s="183" t="s">
        <v>861</v>
      </c>
      <c r="N321" s="177"/>
    </row>
    <row r="322" ht="15.75" customHeight="1">
      <c r="D322" s="180"/>
      <c r="H322" s="181"/>
      <c r="I322" s="182"/>
      <c r="J322" s="183" t="s">
        <v>862</v>
      </c>
      <c r="K322" s="183" t="s">
        <v>863</v>
      </c>
      <c r="N322" s="177"/>
    </row>
    <row r="323" ht="15.75" customHeight="1">
      <c r="D323" s="180"/>
      <c r="H323" s="181"/>
      <c r="I323" s="182"/>
      <c r="J323" s="183" t="s">
        <v>864</v>
      </c>
      <c r="K323" s="183" t="s">
        <v>865</v>
      </c>
      <c r="N323" s="177"/>
    </row>
    <row r="324" ht="15.75" customHeight="1">
      <c r="D324" s="180"/>
      <c r="H324" s="181"/>
      <c r="I324" s="182"/>
      <c r="J324" s="183" t="s">
        <v>866</v>
      </c>
      <c r="K324" s="183" t="s">
        <v>867</v>
      </c>
      <c r="N324" s="177"/>
    </row>
    <row r="325" ht="15.75" customHeight="1">
      <c r="D325" s="180"/>
      <c r="H325" s="181"/>
      <c r="I325" s="182"/>
      <c r="J325" s="183" t="s">
        <v>868</v>
      </c>
      <c r="K325" s="183" t="s">
        <v>869</v>
      </c>
      <c r="N325" s="177"/>
    </row>
    <row r="326" ht="15.75" customHeight="1">
      <c r="D326" s="180"/>
      <c r="H326" s="181"/>
      <c r="I326" s="182"/>
      <c r="J326" s="183" t="s">
        <v>870</v>
      </c>
      <c r="K326" s="183" t="s">
        <v>871</v>
      </c>
      <c r="N326" s="177"/>
    </row>
    <row r="327" ht="15.75" customHeight="1">
      <c r="D327" s="180"/>
      <c r="H327" s="181"/>
      <c r="I327" s="182"/>
      <c r="J327" s="183" t="s">
        <v>872</v>
      </c>
      <c r="K327" s="183" t="s">
        <v>873</v>
      </c>
      <c r="N327" s="177"/>
    </row>
    <row r="328" ht="15.75" customHeight="1">
      <c r="D328" s="180"/>
      <c r="H328" s="181"/>
      <c r="I328" s="182"/>
      <c r="J328" s="183" t="s">
        <v>874</v>
      </c>
      <c r="K328" s="183" t="s">
        <v>875</v>
      </c>
      <c r="N328" s="177"/>
    </row>
    <row r="329" ht="15.75" customHeight="1">
      <c r="D329" s="180"/>
      <c r="H329" s="181"/>
      <c r="I329" s="182"/>
      <c r="J329" s="183" t="s">
        <v>876</v>
      </c>
      <c r="K329" s="183" t="s">
        <v>877</v>
      </c>
      <c r="N329" s="177"/>
    </row>
    <row r="330" ht="15.75" customHeight="1">
      <c r="D330" s="180"/>
      <c r="H330" s="181"/>
      <c r="I330" s="182"/>
      <c r="J330" s="183" t="s">
        <v>878</v>
      </c>
      <c r="K330" s="183" t="s">
        <v>879</v>
      </c>
      <c r="N330" s="177"/>
    </row>
    <row r="331" ht="15.75" customHeight="1">
      <c r="D331" s="180"/>
      <c r="H331" s="181"/>
      <c r="I331" s="182"/>
      <c r="J331" s="183" t="s">
        <v>880</v>
      </c>
      <c r="K331" s="183" t="s">
        <v>881</v>
      </c>
      <c r="N331" s="177"/>
    </row>
    <row r="332" ht="15.75" customHeight="1">
      <c r="D332" s="180"/>
      <c r="H332" s="181"/>
      <c r="I332" s="182"/>
      <c r="J332" s="183" t="s">
        <v>882</v>
      </c>
      <c r="K332" s="183" t="s">
        <v>883</v>
      </c>
      <c r="N332" s="177"/>
    </row>
    <row r="333" ht="15.75" customHeight="1">
      <c r="D333" s="180"/>
      <c r="H333" s="181"/>
      <c r="I333" s="182"/>
      <c r="J333" s="183" t="s">
        <v>884</v>
      </c>
      <c r="K333" s="183" t="s">
        <v>885</v>
      </c>
      <c r="N333" s="177"/>
    </row>
    <row r="334" ht="15.75" customHeight="1">
      <c r="D334" s="180"/>
      <c r="H334" s="181"/>
      <c r="I334" s="182"/>
      <c r="J334" s="183" t="s">
        <v>886</v>
      </c>
      <c r="K334" s="183" t="s">
        <v>887</v>
      </c>
      <c r="N334" s="177"/>
    </row>
    <row r="335" ht="15.75" customHeight="1">
      <c r="D335" s="180"/>
      <c r="H335" s="181"/>
      <c r="I335" s="182"/>
      <c r="J335" s="183" t="s">
        <v>888</v>
      </c>
      <c r="K335" s="183" t="s">
        <v>889</v>
      </c>
      <c r="N335" s="177"/>
    </row>
    <row r="336" ht="15.75" customHeight="1">
      <c r="D336" s="180"/>
      <c r="H336" s="181"/>
      <c r="I336" s="182"/>
      <c r="J336" s="183" t="s">
        <v>890</v>
      </c>
      <c r="K336" s="183" t="s">
        <v>891</v>
      </c>
      <c r="N336" s="177"/>
    </row>
    <row r="337" ht="15.75" customHeight="1">
      <c r="D337" s="180"/>
      <c r="H337" s="181"/>
      <c r="I337" s="182"/>
      <c r="J337" s="183" t="s">
        <v>892</v>
      </c>
      <c r="K337" s="183" t="s">
        <v>893</v>
      </c>
      <c r="N337" s="177"/>
    </row>
    <row r="338" ht="15.75" customHeight="1">
      <c r="D338" s="180"/>
      <c r="H338" s="181"/>
      <c r="I338" s="182"/>
      <c r="J338" s="183" t="s">
        <v>894</v>
      </c>
      <c r="K338" s="183" t="s">
        <v>895</v>
      </c>
      <c r="N338" s="177"/>
    </row>
    <row r="339" ht="15.75" customHeight="1">
      <c r="D339" s="180"/>
      <c r="H339" s="181"/>
      <c r="I339" s="182"/>
      <c r="J339" s="183" t="s">
        <v>896</v>
      </c>
      <c r="K339" s="183" t="s">
        <v>897</v>
      </c>
      <c r="N339" s="177"/>
    </row>
    <row r="340" ht="15.75" customHeight="1">
      <c r="D340" s="180"/>
      <c r="H340" s="181"/>
      <c r="I340" s="182"/>
      <c r="J340" s="183" t="s">
        <v>898</v>
      </c>
      <c r="K340" s="183" t="s">
        <v>899</v>
      </c>
      <c r="N340" s="177"/>
    </row>
    <row r="341" ht="15.75" customHeight="1">
      <c r="D341" s="180"/>
      <c r="H341" s="181"/>
      <c r="I341" s="182"/>
      <c r="J341" s="183" t="s">
        <v>900</v>
      </c>
      <c r="K341" s="183" t="s">
        <v>901</v>
      </c>
      <c r="N341" s="177"/>
    </row>
    <row r="342" ht="15.75" customHeight="1">
      <c r="D342" s="180"/>
      <c r="H342" s="181"/>
      <c r="I342" s="182"/>
      <c r="J342" s="183" t="s">
        <v>902</v>
      </c>
      <c r="K342" s="183" t="s">
        <v>903</v>
      </c>
      <c r="N342" s="177"/>
    </row>
    <row r="343" ht="15.75" customHeight="1">
      <c r="D343" s="180"/>
      <c r="H343" s="181"/>
      <c r="I343" s="182"/>
      <c r="J343" s="183" t="s">
        <v>904</v>
      </c>
      <c r="K343" s="183" t="s">
        <v>905</v>
      </c>
      <c r="N343" s="177"/>
    </row>
    <row r="344" ht="15.75" customHeight="1">
      <c r="D344" s="180"/>
      <c r="H344" s="181"/>
      <c r="I344" s="182"/>
      <c r="J344" s="183" t="s">
        <v>906</v>
      </c>
      <c r="K344" s="183" t="s">
        <v>907</v>
      </c>
      <c r="N344" s="177"/>
    </row>
    <row r="345" ht="15.75" customHeight="1">
      <c r="D345" s="180"/>
      <c r="H345" s="181"/>
      <c r="I345" s="182"/>
      <c r="J345" s="183" t="s">
        <v>908</v>
      </c>
      <c r="K345" s="183" t="s">
        <v>909</v>
      </c>
      <c r="N345" s="177"/>
    </row>
    <row r="346" ht="15.75" customHeight="1">
      <c r="D346" s="180"/>
      <c r="H346" s="181"/>
      <c r="I346" s="182"/>
      <c r="J346" s="183" t="s">
        <v>910</v>
      </c>
      <c r="K346" s="183" t="s">
        <v>911</v>
      </c>
      <c r="N346" s="177"/>
    </row>
    <row r="347" ht="15.75" customHeight="1">
      <c r="D347" s="180"/>
      <c r="H347" s="181"/>
      <c r="I347" s="182"/>
      <c r="J347" s="183" t="s">
        <v>912</v>
      </c>
      <c r="K347" s="183" t="s">
        <v>913</v>
      </c>
      <c r="N347" s="177"/>
    </row>
    <row r="348" ht="15.75" customHeight="1">
      <c r="D348" s="180"/>
      <c r="H348" s="181"/>
      <c r="I348" s="182"/>
      <c r="J348" s="183" t="s">
        <v>914</v>
      </c>
      <c r="K348" s="183" t="s">
        <v>915</v>
      </c>
      <c r="N348" s="177"/>
    </row>
    <row r="349" ht="15.75" customHeight="1">
      <c r="D349" s="180"/>
      <c r="H349" s="181"/>
      <c r="I349" s="182"/>
      <c r="J349" s="183" t="s">
        <v>916</v>
      </c>
      <c r="K349" s="183" t="s">
        <v>917</v>
      </c>
      <c r="N349" s="177"/>
    </row>
    <row r="350" ht="15.75" customHeight="1">
      <c r="D350" s="180"/>
      <c r="H350" s="181"/>
      <c r="I350" s="182"/>
      <c r="J350" s="183" t="s">
        <v>918</v>
      </c>
      <c r="K350" s="183" t="s">
        <v>919</v>
      </c>
      <c r="N350" s="177"/>
    </row>
    <row r="351" ht="15.75" customHeight="1">
      <c r="D351" s="180"/>
      <c r="H351" s="181"/>
      <c r="I351" s="182"/>
      <c r="J351" s="183" t="s">
        <v>920</v>
      </c>
      <c r="K351" s="183" t="s">
        <v>921</v>
      </c>
      <c r="N351" s="177"/>
    </row>
    <row r="352" ht="15.75" customHeight="1">
      <c r="D352" s="180"/>
      <c r="H352" s="181"/>
      <c r="I352" s="182"/>
      <c r="J352" s="183" t="s">
        <v>922</v>
      </c>
      <c r="K352" s="183" t="s">
        <v>923</v>
      </c>
      <c r="N352" s="177"/>
    </row>
    <row r="353" ht="15.75" customHeight="1">
      <c r="D353" s="180"/>
      <c r="H353" s="181"/>
      <c r="I353" s="182"/>
      <c r="J353" s="183" t="s">
        <v>924</v>
      </c>
      <c r="K353" s="183" t="s">
        <v>925</v>
      </c>
      <c r="N353" s="177"/>
    </row>
    <row r="354" ht="15.75" customHeight="1">
      <c r="D354" s="180"/>
      <c r="H354" s="181"/>
      <c r="I354" s="182"/>
      <c r="J354" s="183" t="s">
        <v>926</v>
      </c>
      <c r="K354" s="183" t="s">
        <v>927</v>
      </c>
      <c r="N354" s="177"/>
    </row>
    <row r="355" ht="15.75" customHeight="1">
      <c r="D355" s="180"/>
      <c r="H355" s="181"/>
      <c r="I355" s="182"/>
      <c r="J355" s="183" t="s">
        <v>928</v>
      </c>
      <c r="K355" s="183" t="s">
        <v>929</v>
      </c>
      <c r="N355" s="177"/>
    </row>
    <row r="356" ht="15.75" customHeight="1">
      <c r="D356" s="180"/>
      <c r="H356" s="181"/>
      <c r="I356" s="182"/>
      <c r="J356" s="183" t="s">
        <v>930</v>
      </c>
      <c r="K356" s="183" t="s">
        <v>931</v>
      </c>
      <c r="N356" s="177"/>
    </row>
    <row r="357" ht="15.75" customHeight="1">
      <c r="D357" s="180"/>
      <c r="H357" s="181"/>
      <c r="I357" s="182"/>
      <c r="J357" s="183" t="s">
        <v>932</v>
      </c>
      <c r="K357" s="183" t="s">
        <v>933</v>
      </c>
      <c r="N357" s="177"/>
    </row>
    <row r="358" ht="15.75" customHeight="1">
      <c r="D358" s="180"/>
      <c r="H358" s="181"/>
      <c r="I358" s="182"/>
      <c r="J358" s="183" t="s">
        <v>934</v>
      </c>
      <c r="K358" s="183" t="s">
        <v>935</v>
      </c>
      <c r="N358" s="177"/>
    </row>
    <row r="359" ht="15.75" customHeight="1">
      <c r="D359" s="180"/>
      <c r="H359" s="181"/>
      <c r="I359" s="182"/>
      <c r="J359" s="183" t="s">
        <v>936</v>
      </c>
      <c r="K359" s="183" t="s">
        <v>937</v>
      </c>
      <c r="N359" s="177"/>
    </row>
    <row r="360" ht="15.75" customHeight="1">
      <c r="D360" s="180"/>
      <c r="H360" s="181"/>
      <c r="I360" s="182"/>
      <c r="J360" s="183" t="s">
        <v>938</v>
      </c>
      <c r="K360" s="183" t="s">
        <v>939</v>
      </c>
      <c r="N360" s="177"/>
    </row>
    <row r="361" ht="15.75" customHeight="1">
      <c r="D361" s="180"/>
      <c r="H361" s="181"/>
      <c r="I361" s="182"/>
      <c r="J361" s="183" t="s">
        <v>940</v>
      </c>
      <c r="K361" s="183" t="s">
        <v>941</v>
      </c>
      <c r="N361" s="177"/>
    </row>
    <row r="362" ht="15.75" customHeight="1">
      <c r="D362" s="180"/>
      <c r="H362" s="181"/>
      <c r="I362" s="182"/>
      <c r="J362" s="183" t="s">
        <v>942</v>
      </c>
      <c r="K362" s="183" t="s">
        <v>943</v>
      </c>
      <c r="N362" s="177"/>
    </row>
    <row r="363" ht="15.75" customHeight="1">
      <c r="D363" s="180"/>
      <c r="H363" s="181"/>
      <c r="I363" s="182"/>
      <c r="J363" s="183" t="s">
        <v>944</v>
      </c>
      <c r="K363" s="183" t="s">
        <v>945</v>
      </c>
      <c r="N363" s="177"/>
    </row>
    <row r="364" ht="15.75" customHeight="1">
      <c r="D364" s="180"/>
      <c r="H364" s="181"/>
      <c r="I364" s="182"/>
      <c r="J364" s="183" t="s">
        <v>946</v>
      </c>
      <c r="K364" s="183" t="s">
        <v>947</v>
      </c>
      <c r="N364" s="177"/>
    </row>
    <row r="365" ht="15.75" customHeight="1">
      <c r="D365" s="180"/>
      <c r="H365" s="181"/>
      <c r="I365" s="182"/>
      <c r="J365" s="183" t="s">
        <v>948</v>
      </c>
      <c r="K365" s="183" t="s">
        <v>949</v>
      </c>
      <c r="N365" s="177"/>
    </row>
    <row r="366" ht="15.75" customHeight="1">
      <c r="D366" s="180"/>
      <c r="H366" s="181"/>
      <c r="I366" s="182"/>
      <c r="J366" s="183" t="s">
        <v>950</v>
      </c>
      <c r="K366" s="183" t="s">
        <v>951</v>
      </c>
      <c r="N366" s="177"/>
    </row>
    <row r="367" ht="15.75" customHeight="1">
      <c r="D367" s="180"/>
      <c r="H367" s="181"/>
      <c r="I367" s="182"/>
      <c r="J367" s="183" t="s">
        <v>952</v>
      </c>
      <c r="K367" s="183" t="s">
        <v>953</v>
      </c>
      <c r="N367" s="177"/>
    </row>
    <row r="368" ht="15.75" customHeight="1">
      <c r="D368" s="180"/>
      <c r="H368" s="181"/>
      <c r="I368" s="182"/>
      <c r="J368" s="183" t="s">
        <v>954</v>
      </c>
      <c r="K368" s="183" t="s">
        <v>955</v>
      </c>
      <c r="N368" s="177"/>
    </row>
    <row r="369" ht="15.75" customHeight="1">
      <c r="D369" s="180"/>
      <c r="H369" s="181"/>
      <c r="I369" s="182"/>
      <c r="J369" s="183" t="s">
        <v>956</v>
      </c>
      <c r="K369" s="183" t="s">
        <v>957</v>
      </c>
      <c r="N369" s="177"/>
    </row>
    <row r="370" ht="15.75" customHeight="1">
      <c r="D370" s="180"/>
      <c r="H370" s="181"/>
      <c r="I370" s="182"/>
      <c r="J370" s="183" t="s">
        <v>958</v>
      </c>
      <c r="K370" s="183" t="s">
        <v>959</v>
      </c>
      <c r="N370" s="177"/>
    </row>
    <row r="371" ht="15.75" customHeight="1">
      <c r="D371" s="180"/>
      <c r="H371" s="181"/>
      <c r="I371" s="182"/>
      <c r="J371" s="183" t="s">
        <v>960</v>
      </c>
      <c r="K371" s="183" t="s">
        <v>961</v>
      </c>
      <c r="N371" s="177"/>
    </row>
    <row r="372" ht="15.75" customHeight="1">
      <c r="D372" s="180"/>
      <c r="H372" s="181"/>
      <c r="I372" s="182"/>
      <c r="J372" s="183" t="s">
        <v>962</v>
      </c>
      <c r="K372" s="183" t="s">
        <v>963</v>
      </c>
      <c r="N372" s="177"/>
    </row>
    <row r="373" ht="15.75" customHeight="1">
      <c r="D373" s="180"/>
      <c r="H373" s="181"/>
      <c r="I373" s="182"/>
      <c r="J373" s="183" t="s">
        <v>964</v>
      </c>
      <c r="K373" s="183" t="s">
        <v>965</v>
      </c>
      <c r="N373" s="177"/>
    </row>
    <row r="374" ht="15.75" customHeight="1">
      <c r="D374" s="180"/>
      <c r="H374" s="181"/>
      <c r="I374" s="182"/>
      <c r="J374" s="183" t="s">
        <v>966</v>
      </c>
      <c r="K374" s="183" t="s">
        <v>967</v>
      </c>
      <c r="N374" s="177"/>
    </row>
    <row r="375" ht="15.75" customHeight="1">
      <c r="D375" s="180"/>
      <c r="H375" s="181"/>
      <c r="I375" s="182"/>
      <c r="J375" s="183" t="s">
        <v>968</v>
      </c>
      <c r="K375" s="183" t="s">
        <v>969</v>
      </c>
      <c r="N375" s="177"/>
    </row>
    <row r="376" ht="15.75" customHeight="1">
      <c r="D376" s="180"/>
      <c r="H376" s="181"/>
      <c r="I376" s="182"/>
      <c r="J376" s="183" t="s">
        <v>970</v>
      </c>
      <c r="K376" s="183" t="s">
        <v>971</v>
      </c>
      <c r="N376" s="177"/>
    </row>
    <row r="377" ht="15.75" customHeight="1">
      <c r="D377" s="180"/>
      <c r="H377" s="181"/>
      <c r="I377" s="182"/>
      <c r="J377" s="183" t="s">
        <v>972</v>
      </c>
      <c r="K377" s="183" t="s">
        <v>973</v>
      </c>
      <c r="N377" s="177"/>
    </row>
    <row r="378" ht="15.75" customHeight="1">
      <c r="D378" s="180"/>
      <c r="H378" s="181"/>
      <c r="I378" s="182"/>
      <c r="J378" s="183" t="s">
        <v>974</v>
      </c>
      <c r="K378" s="183" t="s">
        <v>975</v>
      </c>
      <c r="N378" s="177"/>
    </row>
    <row r="379" ht="15.75" customHeight="1">
      <c r="D379" s="180"/>
      <c r="H379" s="181"/>
      <c r="I379" s="182"/>
      <c r="J379" s="183" t="s">
        <v>976</v>
      </c>
      <c r="K379" s="183" t="s">
        <v>977</v>
      </c>
      <c r="N379" s="177"/>
    </row>
    <row r="380" ht="15.75" customHeight="1">
      <c r="D380" s="180"/>
      <c r="H380" s="181"/>
      <c r="I380" s="182"/>
      <c r="J380" s="183" t="s">
        <v>978</v>
      </c>
      <c r="K380" s="183" t="s">
        <v>979</v>
      </c>
      <c r="N380" s="177"/>
    </row>
    <row r="381" ht="15.75" customHeight="1">
      <c r="D381" s="180"/>
      <c r="H381" s="181"/>
      <c r="I381" s="182"/>
      <c r="J381" s="183" t="s">
        <v>980</v>
      </c>
      <c r="K381" s="183" t="s">
        <v>981</v>
      </c>
      <c r="N381" s="177"/>
    </row>
    <row r="382" ht="15.75" customHeight="1">
      <c r="D382" s="180"/>
      <c r="H382" s="181"/>
      <c r="I382" s="182"/>
      <c r="J382" s="183" t="s">
        <v>982</v>
      </c>
      <c r="K382" s="183" t="s">
        <v>983</v>
      </c>
      <c r="N382" s="177"/>
    </row>
    <row r="383" ht="15.75" customHeight="1">
      <c r="D383" s="180"/>
      <c r="H383" s="181"/>
      <c r="I383" s="182"/>
      <c r="J383" s="183" t="s">
        <v>984</v>
      </c>
      <c r="K383" s="183" t="s">
        <v>985</v>
      </c>
      <c r="N383" s="177"/>
    </row>
    <row r="384" ht="15.75" customHeight="1">
      <c r="D384" s="180"/>
      <c r="H384" s="181"/>
      <c r="I384" s="182"/>
      <c r="J384" s="183" t="s">
        <v>986</v>
      </c>
      <c r="K384" s="183" t="s">
        <v>987</v>
      </c>
      <c r="N384" s="177"/>
    </row>
    <row r="385" ht="15.75" customHeight="1">
      <c r="D385" s="180"/>
      <c r="H385" s="181"/>
      <c r="I385" s="182"/>
      <c r="J385" s="183" t="s">
        <v>988</v>
      </c>
      <c r="K385" s="183" t="s">
        <v>989</v>
      </c>
      <c r="N385" s="177"/>
    </row>
    <row r="386" ht="15.75" customHeight="1">
      <c r="D386" s="180"/>
      <c r="H386" s="181"/>
      <c r="I386" s="182"/>
      <c r="J386" s="183" t="s">
        <v>990</v>
      </c>
      <c r="K386" s="183" t="s">
        <v>991</v>
      </c>
      <c r="N386" s="177"/>
    </row>
    <row r="387" ht="15.75" customHeight="1">
      <c r="D387" s="180"/>
      <c r="H387" s="181"/>
      <c r="I387" s="182"/>
      <c r="J387" s="183" t="s">
        <v>992</v>
      </c>
      <c r="K387" s="183" t="s">
        <v>993</v>
      </c>
      <c r="N387" s="177"/>
    </row>
    <row r="388" ht="15.75" customHeight="1">
      <c r="D388" s="180"/>
      <c r="H388" s="181"/>
      <c r="I388" s="182"/>
      <c r="J388" s="183" t="s">
        <v>994</v>
      </c>
      <c r="K388" s="183" t="s">
        <v>995</v>
      </c>
      <c r="N388" s="177"/>
    </row>
    <row r="389" ht="15.75" customHeight="1">
      <c r="D389" s="180"/>
      <c r="H389" s="181"/>
      <c r="I389" s="182"/>
      <c r="J389" s="183" t="s">
        <v>996</v>
      </c>
      <c r="K389" s="183" t="s">
        <v>997</v>
      </c>
      <c r="N389" s="177"/>
    </row>
    <row r="390" ht="15.75" customHeight="1">
      <c r="D390" s="180"/>
      <c r="H390" s="181"/>
      <c r="I390" s="182"/>
      <c r="J390" s="183" t="s">
        <v>998</v>
      </c>
      <c r="K390" s="183" t="s">
        <v>999</v>
      </c>
      <c r="N390" s="177"/>
    </row>
    <row r="391" ht="15.75" customHeight="1">
      <c r="D391" s="180"/>
      <c r="H391" s="181"/>
      <c r="I391" s="182"/>
      <c r="J391" s="183" t="s">
        <v>1000</v>
      </c>
      <c r="K391" s="183" t="s">
        <v>1001</v>
      </c>
      <c r="N391" s="177"/>
    </row>
    <row r="392" ht="15.75" customHeight="1">
      <c r="D392" s="180"/>
      <c r="H392" s="181"/>
      <c r="I392" s="182"/>
      <c r="J392" s="183" t="s">
        <v>1002</v>
      </c>
      <c r="K392" s="183" t="s">
        <v>1003</v>
      </c>
      <c r="N392" s="177"/>
    </row>
    <row r="393" ht="15.75" customHeight="1">
      <c r="D393" s="180"/>
      <c r="H393" s="181"/>
      <c r="I393" s="182"/>
      <c r="J393" s="183" t="s">
        <v>1004</v>
      </c>
      <c r="K393" s="183" t="s">
        <v>1005</v>
      </c>
      <c r="N393" s="177"/>
    </row>
    <row r="394" ht="15.75" customHeight="1">
      <c r="D394" s="180"/>
      <c r="H394" s="181"/>
      <c r="I394" s="182"/>
      <c r="J394" s="183" t="s">
        <v>1006</v>
      </c>
      <c r="K394" s="183" t="s">
        <v>1007</v>
      </c>
      <c r="N394" s="177"/>
    </row>
    <row r="395" ht="15.75" customHeight="1">
      <c r="D395" s="180"/>
      <c r="H395" s="181"/>
      <c r="I395" s="182"/>
      <c r="J395" s="183" t="s">
        <v>1008</v>
      </c>
      <c r="K395" s="183" t="s">
        <v>1009</v>
      </c>
      <c r="N395" s="177"/>
    </row>
    <row r="396" ht="15.75" customHeight="1">
      <c r="D396" s="180"/>
      <c r="H396" s="181"/>
      <c r="I396" s="182"/>
      <c r="J396" s="183" t="s">
        <v>1010</v>
      </c>
      <c r="K396" s="183" t="s">
        <v>1011</v>
      </c>
      <c r="N396" s="177"/>
    </row>
    <row r="397" ht="15.75" customHeight="1">
      <c r="D397" s="180"/>
      <c r="H397" s="181"/>
      <c r="I397" s="182"/>
      <c r="J397" s="183" t="s">
        <v>1012</v>
      </c>
      <c r="K397" s="183" t="s">
        <v>1013</v>
      </c>
      <c r="N397" s="177"/>
    </row>
    <row r="398" ht="15.75" customHeight="1">
      <c r="D398" s="180"/>
      <c r="H398" s="181"/>
      <c r="I398" s="182"/>
      <c r="J398" s="183" t="s">
        <v>1014</v>
      </c>
      <c r="K398" s="183" t="s">
        <v>1015</v>
      </c>
      <c r="N398" s="177"/>
    </row>
    <row r="399" ht="15.75" customHeight="1">
      <c r="D399" s="180"/>
      <c r="H399" s="181"/>
      <c r="I399" s="182"/>
      <c r="J399" s="183" t="s">
        <v>1016</v>
      </c>
      <c r="K399" s="183" t="s">
        <v>1017</v>
      </c>
      <c r="N399" s="177"/>
    </row>
    <row r="400" ht="15.75" customHeight="1">
      <c r="D400" s="180"/>
      <c r="H400" s="181"/>
      <c r="I400" s="182"/>
      <c r="J400" s="183" t="s">
        <v>1018</v>
      </c>
      <c r="K400" s="183" t="s">
        <v>1019</v>
      </c>
      <c r="N400" s="177"/>
    </row>
    <row r="401" ht="15.75" customHeight="1">
      <c r="D401" s="180"/>
      <c r="H401" s="181"/>
      <c r="I401" s="182"/>
      <c r="J401" s="183" t="s">
        <v>1020</v>
      </c>
      <c r="K401" s="183" t="s">
        <v>1021</v>
      </c>
      <c r="N401" s="177"/>
    </row>
    <row r="402" ht="15.75" customHeight="1">
      <c r="D402" s="180"/>
      <c r="H402" s="181"/>
      <c r="I402" s="182"/>
      <c r="J402" s="183" t="s">
        <v>1022</v>
      </c>
      <c r="K402" s="183" t="s">
        <v>1023</v>
      </c>
      <c r="N402" s="177"/>
    </row>
    <row r="403" ht="15.75" customHeight="1">
      <c r="D403" s="180"/>
      <c r="H403" s="181"/>
      <c r="I403" s="182"/>
      <c r="J403" s="183" t="s">
        <v>1024</v>
      </c>
      <c r="K403" s="183" t="s">
        <v>1025</v>
      </c>
      <c r="N403" s="177"/>
    </row>
    <row r="404" ht="15.75" customHeight="1">
      <c r="D404" s="180"/>
      <c r="H404" s="181"/>
      <c r="I404" s="182"/>
      <c r="J404" s="183" t="s">
        <v>1026</v>
      </c>
      <c r="K404" s="183" t="s">
        <v>1027</v>
      </c>
      <c r="N404" s="177"/>
    </row>
    <row r="405" ht="15.75" customHeight="1">
      <c r="D405" s="180"/>
      <c r="H405" s="181"/>
      <c r="I405" s="182"/>
      <c r="J405" s="183" t="s">
        <v>1028</v>
      </c>
      <c r="K405" s="183" t="s">
        <v>1029</v>
      </c>
      <c r="N405" s="177"/>
    </row>
    <row r="406" ht="15.75" customHeight="1">
      <c r="D406" s="180"/>
      <c r="H406" s="181"/>
      <c r="I406" s="182"/>
      <c r="J406" s="183" t="s">
        <v>1030</v>
      </c>
      <c r="K406" s="183" t="s">
        <v>1031</v>
      </c>
      <c r="N406" s="177"/>
    </row>
    <row r="407" ht="15.75" customHeight="1">
      <c r="D407" s="180"/>
      <c r="H407" s="184"/>
      <c r="I407" s="185"/>
      <c r="J407" s="186">
        <v>300.0</v>
      </c>
      <c r="K407" s="183" t="s">
        <v>1032</v>
      </c>
      <c r="N407" s="177"/>
    </row>
    <row r="408" ht="15.75" customHeight="1">
      <c r="D408" s="180"/>
      <c r="H408" s="181"/>
      <c r="I408" s="182"/>
      <c r="J408" s="183" t="s">
        <v>1033</v>
      </c>
      <c r="K408" s="183" t="s">
        <v>1034</v>
      </c>
      <c r="N408" s="177"/>
    </row>
    <row r="409" ht="15.75" customHeight="1">
      <c r="D409" s="180"/>
      <c r="H409" s="181"/>
      <c r="I409" s="182"/>
      <c r="J409" s="183" t="s">
        <v>1035</v>
      </c>
      <c r="K409" s="183" t="s">
        <v>1036</v>
      </c>
      <c r="N409" s="177"/>
    </row>
    <row r="410" ht="15.75" customHeight="1">
      <c r="D410" s="180"/>
      <c r="H410" s="181"/>
      <c r="I410" s="182"/>
      <c r="J410" s="183" t="s">
        <v>1037</v>
      </c>
      <c r="K410" s="183" t="s">
        <v>1038</v>
      </c>
      <c r="N410" s="177"/>
    </row>
    <row r="411" ht="15.75" customHeight="1">
      <c r="D411" s="180"/>
      <c r="H411" s="181"/>
      <c r="I411" s="182"/>
      <c r="J411" s="183" t="s">
        <v>1039</v>
      </c>
      <c r="K411" s="183" t="s">
        <v>1040</v>
      </c>
      <c r="N411" s="177"/>
    </row>
    <row r="412" ht="15.75" customHeight="1">
      <c r="D412" s="180"/>
      <c r="H412" s="181"/>
      <c r="I412" s="182"/>
      <c r="J412" s="183" t="s">
        <v>1041</v>
      </c>
      <c r="K412" s="183" t="s">
        <v>1042</v>
      </c>
      <c r="N412" s="177"/>
    </row>
    <row r="413" ht="15.75" customHeight="1">
      <c r="D413" s="180"/>
      <c r="H413" s="181"/>
      <c r="I413" s="182"/>
      <c r="J413" s="183" t="s">
        <v>1043</v>
      </c>
      <c r="K413" s="183" t="s">
        <v>1044</v>
      </c>
      <c r="N413" s="177"/>
    </row>
    <row r="414" ht="15.75" customHeight="1">
      <c r="D414" s="180"/>
      <c r="H414" s="181"/>
      <c r="I414" s="182"/>
      <c r="J414" s="183" t="s">
        <v>1045</v>
      </c>
      <c r="K414" s="183" t="s">
        <v>1046</v>
      </c>
      <c r="N414" s="177"/>
    </row>
    <row r="415" ht="15.75" customHeight="1">
      <c r="D415" s="180"/>
      <c r="H415" s="181"/>
      <c r="I415" s="182"/>
      <c r="J415" s="183" t="s">
        <v>1047</v>
      </c>
      <c r="K415" s="183" t="s">
        <v>1048</v>
      </c>
      <c r="N415" s="177"/>
    </row>
    <row r="416" ht="15.75" customHeight="1">
      <c r="D416" s="180"/>
      <c r="H416" s="181"/>
      <c r="I416" s="182"/>
      <c r="J416" s="183" t="s">
        <v>1049</v>
      </c>
      <c r="K416" s="183" t="s">
        <v>1050</v>
      </c>
      <c r="N416" s="177"/>
    </row>
    <row r="417" ht="15.75" customHeight="1">
      <c r="D417" s="180"/>
      <c r="H417" s="176"/>
      <c r="I417" s="177"/>
      <c r="J417" s="180"/>
      <c r="K417" s="180"/>
      <c r="M417" s="180"/>
      <c r="N417" s="177"/>
    </row>
    <row r="418" ht="15.75" customHeight="1">
      <c r="D418" s="180"/>
      <c r="H418" s="176"/>
      <c r="I418" s="177"/>
      <c r="J418" s="180"/>
      <c r="K418" s="180"/>
      <c r="M418" s="180"/>
      <c r="N418" s="177"/>
    </row>
    <row r="419" ht="15.75" customHeight="1">
      <c r="D419" s="180"/>
      <c r="H419" s="176"/>
      <c r="I419" s="177"/>
      <c r="J419" s="180"/>
      <c r="K419" s="180"/>
      <c r="M419" s="180"/>
      <c r="N419" s="177"/>
    </row>
    <row r="420" ht="15.75" customHeight="1">
      <c r="D420" s="180"/>
      <c r="H420" s="176"/>
      <c r="I420" s="177"/>
      <c r="J420" s="180"/>
      <c r="K420" s="180"/>
      <c r="M420" s="180"/>
      <c r="N420" s="177"/>
    </row>
    <row r="421" ht="15.75" customHeight="1">
      <c r="D421" s="180"/>
      <c r="H421" s="176"/>
      <c r="I421" s="177"/>
      <c r="J421" s="180"/>
      <c r="K421" s="180"/>
      <c r="M421" s="180"/>
      <c r="N421" s="177"/>
    </row>
    <row r="422" ht="15.75" customHeight="1">
      <c r="D422" s="180"/>
      <c r="H422" s="176"/>
      <c r="I422" s="177"/>
      <c r="J422" s="180"/>
      <c r="K422" s="180"/>
      <c r="M422" s="180"/>
      <c r="N422" s="177"/>
    </row>
    <row r="423" ht="15.75" customHeight="1">
      <c r="D423" s="180"/>
      <c r="H423" s="176"/>
      <c r="I423" s="177"/>
      <c r="J423" s="180"/>
      <c r="K423" s="180"/>
      <c r="M423" s="180"/>
      <c r="N423" s="177"/>
    </row>
    <row r="424" ht="15.75" customHeight="1">
      <c r="D424" s="180"/>
      <c r="H424" s="176"/>
      <c r="I424" s="177"/>
      <c r="J424" s="180"/>
      <c r="K424" s="180"/>
      <c r="M424" s="180"/>
      <c r="N424" s="177"/>
    </row>
    <row r="425" ht="15.75" customHeight="1">
      <c r="D425" s="180"/>
      <c r="H425" s="176"/>
      <c r="I425" s="177"/>
      <c r="J425" s="180"/>
      <c r="K425" s="180"/>
      <c r="M425" s="180"/>
      <c r="N425" s="177"/>
    </row>
    <row r="426" ht="15.75" customHeight="1">
      <c r="D426" s="180"/>
      <c r="H426" s="176"/>
      <c r="I426" s="177"/>
      <c r="J426" s="180"/>
      <c r="K426" s="180"/>
      <c r="M426" s="180"/>
      <c r="N426" s="177"/>
    </row>
    <row r="427" ht="15.75" customHeight="1">
      <c r="D427" s="180"/>
      <c r="H427" s="176"/>
      <c r="I427" s="177"/>
      <c r="J427" s="180"/>
      <c r="K427" s="180"/>
      <c r="M427" s="180"/>
      <c r="N427" s="177"/>
    </row>
    <row r="428" ht="15.75" customHeight="1">
      <c r="D428" s="180"/>
      <c r="H428" s="176"/>
      <c r="I428" s="177"/>
      <c r="J428" s="180"/>
      <c r="K428" s="180"/>
      <c r="M428" s="180"/>
      <c r="N428" s="177"/>
    </row>
    <row r="429" ht="15.75" customHeight="1">
      <c r="D429" s="180"/>
      <c r="H429" s="176"/>
      <c r="I429" s="177"/>
      <c r="J429" s="180"/>
      <c r="K429" s="180"/>
      <c r="M429" s="180"/>
      <c r="N429" s="177"/>
    </row>
    <row r="430" ht="15.75" customHeight="1">
      <c r="D430" s="180"/>
      <c r="H430" s="176"/>
      <c r="I430" s="177"/>
      <c r="J430" s="180"/>
      <c r="K430" s="180"/>
      <c r="M430" s="180"/>
      <c r="N430" s="177"/>
    </row>
    <row r="431" ht="15.75" customHeight="1">
      <c r="D431" s="180"/>
      <c r="H431" s="176"/>
      <c r="I431" s="177"/>
      <c r="J431" s="180"/>
      <c r="K431" s="180"/>
      <c r="M431" s="180"/>
      <c r="N431" s="177"/>
    </row>
    <row r="432" ht="15.75" customHeight="1">
      <c r="D432" s="180"/>
      <c r="H432" s="176"/>
      <c r="I432" s="177"/>
      <c r="J432" s="180"/>
      <c r="K432" s="180"/>
      <c r="M432" s="180"/>
      <c r="N432" s="177"/>
    </row>
    <row r="433" ht="15.75" customHeight="1">
      <c r="D433" s="180"/>
      <c r="H433" s="176"/>
      <c r="I433" s="177"/>
      <c r="J433" s="180"/>
      <c r="K433" s="180"/>
      <c r="M433" s="180"/>
      <c r="N433" s="177"/>
    </row>
    <row r="434" ht="15.75" customHeight="1">
      <c r="D434" s="180"/>
      <c r="H434" s="176"/>
      <c r="I434" s="177"/>
      <c r="J434" s="180"/>
      <c r="K434" s="180"/>
      <c r="M434" s="180"/>
      <c r="N434" s="177"/>
    </row>
    <row r="435" ht="15.75" customHeight="1">
      <c r="D435" s="180"/>
      <c r="H435" s="176"/>
      <c r="I435" s="177"/>
      <c r="J435" s="180"/>
      <c r="K435" s="180"/>
      <c r="M435" s="180"/>
      <c r="N435" s="177"/>
    </row>
    <row r="436" ht="15.75" customHeight="1">
      <c r="D436" s="180"/>
      <c r="H436" s="176"/>
      <c r="I436" s="177"/>
      <c r="J436" s="180"/>
      <c r="K436" s="180"/>
      <c r="M436" s="180"/>
      <c r="N436" s="177"/>
    </row>
    <row r="437" ht="15.75" customHeight="1">
      <c r="D437" s="180"/>
      <c r="H437" s="176"/>
      <c r="I437" s="177"/>
      <c r="J437" s="180"/>
      <c r="K437" s="180"/>
      <c r="M437" s="180"/>
      <c r="N437" s="177"/>
    </row>
    <row r="438" ht="15.75" customHeight="1">
      <c r="D438" s="180"/>
      <c r="H438" s="176"/>
      <c r="I438" s="177"/>
      <c r="J438" s="180"/>
      <c r="K438" s="180"/>
      <c r="M438" s="180"/>
      <c r="N438" s="177"/>
    </row>
    <row r="439" ht="15.75" customHeight="1">
      <c r="D439" s="180"/>
      <c r="H439" s="176"/>
      <c r="I439" s="177"/>
      <c r="J439" s="180"/>
      <c r="K439" s="180"/>
      <c r="M439" s="180"/>
      <c r="N439" s="177"/>
    </row>
    <row r="440" ht="15.75" customHeight="1">
      <c r="D440" s="180"/>
      <c r="H440" s="176"/>
      <c r="I440" s="177"/>
      <c r="J440" s="180"/>
      <c r="K440" s="180"/>
      <c r="M440" s="180"/>
      <c r="N440" s="177"/>
    </row>
    <row r="441" ht="15.75" customHeight="1">
      <c r="D441" s="180"/>
      <c r="H441" s="176"/>
      <c r="I441" s="177"/>
      <c r="J441" s="180"/>
      <c r="K441" s="180"/>
      <c r="M441" s="180"/>
      <c r="N441" s="177"/>
    </row>
    <row r="442" ht="15.75" customHeight="1">
      <c r="D442" s="180"/>
      <c r="H442" s="176"/>
      <c r="I442" s="177"/>
      <c r="J442" s="180"/>
      <c r="K442" s="180"/>
      <c r="M442" s="180"/>
      <c r="N442" s="177"/>
    </row>
    <row r="443" ht="15.75" customHeight="1">
      <c r="D443" s="180"/>
      <c r="H443" s="176"/>
      <c r="I443" s="177"/>
      <c r="J443" s="180"/>
      <c r="K443" s="180"/>
      <c r="M443" s="180"/>
      <c r="N443" s="177"/>
    </row>
    <row r="444" ht="15.75" customHeight="1">
      <c r="D444" s="180"/>
      <c r="H444" s="176"/>
      <c r="I444" s="177"/>
      <c r="J444" s="180"/>
      <c r="K444" s="180"/>
      <c r="M444" s="180"/>
      <c r="N444" s="177"/>
    </row>
    <row r="445" ht="15.75" customHeight="1">
      <c r="D445" s="180"/>
      <c r="H445" s="176"/>
      <c r="I445" s="177"/>
      <c r="J445" s="180"/>
      <c r="K445" s="180"/>
      <c r="M445" s="180"/>
      <c r="N445" s="177"/>
    </row>
    <row r="446" ht="15.75" customHeight="1">
      <c r="D446" s="180"/>
      <c r="H446" s="176"/>
      <c r="I446" s="177"/>
      <c r="J446" s="180"/>
      <c r="K446" s="180"/>
      <c r="M446" s="180"/>
      <c r="N446" s="177"/>
    </row>
    <row r="447" ht="15.75" customHeight="1">
      <c r="D447" s="180"/>
      <c r="H447" s="176"/>
      <c r="I447" s="177"/>
      <c r="J447" s="180"/>
      <c r="K447" s="180"/>
      <c r="M447" s="180"/>
      <c r="N447" s="177"/>
    </row>
    <row r="448" ht="15.75" customHeight="1">
      <c r="D448" s="180"/>
      <c r="H448" s="176"/>
      <c r="I448" s="177"/>
      <c r="J448" s="180"/>
      <c r="K448" s="180"/>
      <c r="M448" s="180"/>
      <c r="N448" s="177"/>
    </row>
    <row r="449" ht="15.75" customHeight="1">
      <c r="D449" s="180"/>
      <c r="H449" s="176"/>
      <c r="I449" s="177"/>
      <c r="J449" s="180"/>
      <c r="K449" s="180"/>
      <c r="M449" s="180"/>
      <c r="N449" s="177"/>
    </row>
    <row r="450" ht="15.75" customHeight="1">
      <c r="D450" s="180"/>
      <c r="H450" s="176"/>
      <c r="I450" s="177"/>
      <c r="J450" s="180"/>
      <c r="K450" s="180"/>
      <c r="M450" s="180"/>
      <c r="N450" s="177"/>
    </row>
    <row r="451" ht="15.75" customHeight="1">
      <c r="D451" s="180"/>
      <c r="H451" s="176"/>
      <c r="I451" s="177"/>
      <c r="J451" s="180"/>
      <c r="K451" s="180"/>
      <c r="M451" s="180"/>
      <c r="N451" s="177"/>
    </row>
    <row r="452" ht="15.75" customHeight="1">
      <c r="D452" s="180"/>
      <c r="H452" s="176"/>
      <c r="I452" s="177"/>
      <c r="J452" s="180"/>
      <c r="K452" s="180"/>
      <c r="M452" s="180"/>
      <c r="N452" s="177"/>
    </row>
    <row r="453" ht="15.75" customHeight="1">
      <c r="D453" s="180"/>
      <c r="H453" s="176"/>
      <c r="I453" s="177"/>
      <c r="J453" s="180"/>
      <c r="K453" s="180"/>
      <c r="M453" s="180"/>
      <c r="N453" s="177"/>
    </row>
    <row r="454" ht="15.75" customHeight="1">
      <c r="D454" s="180"/>
      <c r="H454" s="176"/>
      <c r="I454" s="177"/>
      <c r="J454" s="180"/>
      <c r="K454" s="180"/>
      <c r="M454" s="180"/>
      <c r="N454" s="177"/>
    </row>
    <row r="455" ht="15.75" customHeight="1">
      <c r="D455" s="180"/>
      <c r="H455" s="176"/>
      <c r="I455" s="177"/>
      <c r="J455" s="180"/>
      <c r="K455" s="180"/>
      <c r="M455" s="180"/>
      <c r="N455" s="177"/>
    </row>
    <row r="456" ht="15.75" customHeight="1">
      <c r="D456" s="180"/>
      <c r="H456" s="176"/>
      <c r="I456" s="177"/>
      <c r="J456" s="180"/>
      <c r="K456" s="180"/>
      <c r="M456" s="180"/>
      <c r="N456" s="177"/>
    </row>
    <row r="457" ht="15.75" customHeight="1">
      <c r="D457" s="180"/>
      <c r="H457" s="176"/>
      <c r="I457" s="177"/>
      <c r="J457" s="180"/>
      <c r="K457" s="180"/>
      <c r="M457" s="180"/>
      <c r="N457" s="177"/>
    </row>
    <row r="458" ht="15.75" customHeight="1">
      <c r="D458" s="180"/>
      <c r="H458" s="176"/>
      <c r="I458" s="177"/>
      <c r="J458" s="180"/>
      <c r="K458" s="180"/>
      <c r="M458" s="180"/>
      <c r="N458" s="177"/>
    </row>
    <row r="459" ht="15.75" customHeight="1">
      <c r="D459" s="180"/>
      <c r="H459" s="176"/>
      <c r="I459" s="177"/>
      <c r="J459" s="180"/>
      <c r="K459" s="180"/>
      <c r="M459" s="180"/>
      <c r="N459" s="177"/>
    </row>
    <row r="460" ht="15.75" customHeight="1">
      <c r="D460" s="180"/>
      <c r="H460" s="176"/>
      <c r="I460" s="177"/>
      <c r="J460" s="180"/>
      <c r="K460" s="180"/>
      <c r="M460" s="180"/>
      <c r="N460" s="177"/>
    </row>
    <row r="461" ht="15.75" customHeight="1">
      <c r="D461" s="180"/>
      <c r="H461" s="176"/>
      <c r="I461" s="177"/>
      <c r="J461" s="180"/>
      <c r="K461" s="180"/>
      <c r="M461" s="180"/>
      <c r="N461" s="177"/>
    </row>
    <row r="462" ht="15.75" customHeight="1">
      <c r="D462" s="180"/>
      <c r="H462" s="176"/>
      <c r="I462" s="177"/>
      <c r="J462" s="180"/>
      <c r="K462" s="180"/>
      <c r="M462" s="180"/>
      <c r="N462" s="177"/>
    </row>
    <row r="463" ht="15.75" customHeight="1">
      <c r="D463" s="180"/>
      <c r="H463" s="176"/>
      <c r="I463" s="177"/>
      <c r="J463" s="180"/>
      <c r="K463" s="180"/>
      <c r="M463" s="180"/>
      <c r="N463" s="177"/>
    </row>
    <row r="464" ht="15.75" customHeight="1">
      <c r="D464" s="180"/>
      <c r="H464" s="176"/>
      <c r="I464" s="177"/>
      <c r="J464" s="180"/>
      <c r="K464" s="180"/>
      <c r="M464" s="180"/>
      <c r="N464" s="177"/>
    </row>
    <row r="465" ht="15.75" customHeight="1">
      <c r="D465" s="180"/>
      <c r="H465" s="176"/>
      <c r="I465" s="177"/>
      <c r="J465" s="180"/>
      <c r="K465" s="180"/>
      <c r="M465" s="180"/>
      <c r="N465" s="177"/>
    </row>
    <row r="466" ht="15.75" customHeight="1">
      <c r="D466" s="180"/>
      <c r="H466" s="176"/>
      <c r="I466" s="177"/>
      <c r="J466" s="180"/>
      <c r="K466" s="180"/>
      <c r="M466" s="180"/>
      <c r="N466" s="177"/>
    </row>
    <row r="467" ht="15.75" customHeight="1">
      <c r="D467" s="180"/>
      <c r="H467" s="176"/>
      <c r="I467" s="177"/>
      <c r="J467" s="180"/>
      <c r="K467" s="180"/>
      <c r="M467" s="180"/>
      <c r="N467" s="177"/>
    </row>
    <row r="468" ht="15.75" customHeight="1">
      <c r="D468" s="180"/>
      <c r="H468" s="176"/>
      <c r="I468" s="177"/>
      <c r="J468" s="180"/>
      <c r="K468" s="180"/>
      <c r="M468" s="180"/>
      <c r="N468" s="177"/>
    </row>
    <row r="469" ht="15.75" customHeight="1">
      <c r="D469" s="180"/>
      <c r="H469" s="176"/>
      <c r="I469" s="177"/>
      <c r="J469" s="180"/>
      <c r="K469" s="180"/>
      <c r="M469" s="180"/>
      <c r="N469" s="177"/>
    </row>
    <row r="470" ht="15.75" customHeight="1">
      <c r="D470" s="180"/>
      <c r="H470" s="176"/>
      <c r="I470" s="177"/>
      <c r="J470" s="180"/>
      <c r="K470" s="180"/>
      <c r="M470" s="180"/>
      <c r="N470" s="177"/>
    </row>
    <row r="471" ht="15.75" customHeight="1">
      <c r="D471" s="180"/>
      <c r="H471" s="176"/>
      <c r="I471" s="177"/>
      <c r="J471" s="180"/>
      <c r="K471" s="180"/>
      <c r="M471" s="180"/>
      <c r="N471" s="177"/>
    </row>
    <row r="472" ht="15.75" customHeight="1">
      <c r="D472" s="180"/>
      <c r="H472" s="176"/>
      <c r="I472" s="177"/>
      <c r="J472" s="180"/>
      <c r="K472" s="180"/>
      <c r="M472" s="180"/>
      <c r="N472" s="177"/>
    </row>
    <row r="473" ht="15.75" customHeight="1">
      <c r="D473" s="180"/>
      <c r="H473" s="176"/>
      <c r="I473" s="177"/>
      <c r="J473" s="180"/>
      <c r="K473" s="180"/>
      <c r="M473" s="180"/>
      <c r="N473" s="177"/>
    </row>
    <row r="474" ht="15.75" customHeight="1">
      <c r="D474" s="180"/>
      <c r="H474" s="176"/>
      <c r="I474" s="177"/>
      <c r="J474" s="180"/>
      <c r="K474" s="180"/>
      <c r="M474" s="180"/>
      <c r="N474" s="177"/>
    </row>
    <row r="475" ht="15.75" customHeight="1">
      <c r="D475" s="180"/>
      <c r="H475" s="176"/>
      <c r="I475" s="177"/>
      <c r="J475" s="180"/>
      <c r="K475" s="180"/>
      <c r="M475" s="180"/>
      <c r="N475" s="177"/>
    </row>
    <row r="476" ht="15.75" customHeight="1">
      <c r="D476" s="180"/>
      <c r="H476" s="176"/>
      <c r="I476" s="177"/>
      <c r="J476" s="180"/>
      <c r="K476" s="180"/>
      <c r="M476" s="180"/>
      <c r="N476" s="177"/>
    </row>
    <row r="477" ht="15.75" customHeight="1">
      <c r="D477" s="180"/>
      <c r="H477" s="176"/>
      <c r="I477" s="177"/>
      <c r="J477" s="180"/>
      <c r="K477" s="180"/>
      <c r="M477" s="180"/>
      <c r="N477" s="177"/>
    </row>
    <row r="478" ht="15.75" customHeight="1">
      <c r="D478" s="180"/>
      <c r="H478" s="176"/>
      <c r="I478" s="177"/>
      <c r="J478" s="180"/>
      <c r="K478" s="180"/>
      <c r="M478" s="180"/>
      <c r="N478" s="177"/>
    </row>
    <row r="479" ht="15.75" customHeight="1">
      <c r="D479" s="180"/>
      <c r="H479" s="176"/>
      <c r="I479" s="177"/>
      <c r="J479" s="180"/>
      <c r="K479" s="180"/>
      <c r="M479" s="180"/>
      <c r="N479" s="177"/>
    </row>
    <row r="480" ht="15.75" customHeight="1">
      <c r="D480" s="180"/>
      <c r="H480" s="176"/>
      <c r="I480" s="177"/>
      <c r="J480" s="180"/>
      <c r="K480" s="180"/>
      <c r="M480" s="180"/>
      <c r="N480" s="177"/>
    </row>
    <row r="481" ht="15.75" customHeight="1">
      <c r="D481" s="180"/>
      <c r="H481" s="176"/>
      <c r="I481" s="177"/>
      <c r="J481" s="180"/>
      <c r="K481" s="180"/>
      <c r="M481" s="180"/>
      <c r="N481" s="177"/>
    </row>
    <row r="482" ht="15.75" customHeight="1">
      <c r="D482" s="180"/>
      <c r="H482" s="176"/>
      <c r="I482" s="177"/>
      <c r="J482" s="180"/>
      <c r="K482" s="180"/>
      <c r="M482" s="180"/>
      <c r="N482" s="177"/>
    </row>
    <row r="483" ht="15.75" customHeight="1">
      <c r="D483" s="180"/>
      <c r="H483" s="176"/>
      <c r="I483" s="177"/>
      <c r="J483" s="180"/>
      <c r="K483" s="180"/>
      <c r="M483" s="180"/>
      <c r="N483" s="177"/>
    </row>
    <row r="484" ht="15.75" customHeight="1">
      <c r="D484" s="180"/>
      <c r="H484" s="176"/>
      <c r="I484" s="177"/>
      <c r="J484" s="180"/>
      <c r="K484" s="180"/>
      <c r="M484" s="180"/>
      <c r="N484" s="177"/>
    </row>
    <row r="485" ht="15.75" customHeight="1">
      <c r="D485" s="180"/>
      <c r="H485" s="176"/>
      <c r="I485" s="177"/>
      <c r="J485" s="180"/>
      <c r="K485" s="180"/>
      <c r="M485" s="180"/>
      <c r="N485" s="177"/>
    </row>
    <row r="486" ht="15.75" customHeight="1">
      <c r="D486" s="180"/>
      <c r="H486" s="176"/>
      <c r="I486" s="177"/>
      <c r="J486" s="180"/>
      <c r="K486" s="180"/>
      <c r="M486" s="180"/>
      <c r="N486" s="177"/>
    </row>
    <row r="487" ht="15.75" customHeight="1">
      <c r="D487" s="180"/>
      <c r="H487" s="176"/>
      <c r="I487" s="177"/>
      <c r="J487" s="180"/>
      <c r="K487" s="180"/>
      <c r="M487" s="180"/>
      <c r="N487" s="177"/>
    </row>
    <row r="488" ht="15.75" customHeight="1">
      <c r="D488" s="180"/>
      <c r="H488" s="176"/>
      <c r="I488" s="177"/>
      <c r="J488" s="180"/>
      <c r="K488" s="180"/>
      <c r="M488" s="180"/>
      <c r="N488" s="177"/>
    </row>
    <row r="489" ht="15.75" customHeight="1">
      <c r="D489" s="180"/>
      <c r="H489" s="176"/>
      <c r="I489" s="177"/>
      <c r="J489" s="180"/>
      <c r="K489" s="180"/>
      <c r="M489" s="180"/>
      <c r="N489" s="177"/>
    </row>
    <row r="490" ht="15.75" customHeight="1">
      <c r="D490" s="180"/>
      <c r="H490" s="176"/>
      <c r="I490" s="177"/>
      <c r="J490" s="180"/>
      <c r="K490" s="180"/>
      <c r="M490" s="180"/>
      <c r="N490" s="177"/>
    </row>
    <row r="491" ht="15.75" customHeight="1">
      <c r="D491" s="180"/>
      <c r="H491" s="176"/>
      <c r="I491" s="177"/>
      <c r="J491" s="180"/>
      <c r="K491" s="180"/>
      <c r="M491" s="180"/>
      <c r="N491" s="177"/>
    </row>
    <row r="492" ht="15.75" customHeight="1">
      <c r="D492" s="180"/>
      <c r="H492" s="176"/>
      <c r="I492" s="177"/>
      <c r="J492" s="180"/>
      <c r="K492" s="180"/>
      <c r="M492" s="180"/>
      <c r="N492" s="177"/>
    </row>
    <row r="493" ht="15.75" customHeight="1">
      <c r="D493" s="180"/>
      <c r="H493" s="176"/>
      <c r="I493" s="177"/>
      <c r="J493" s="180"/>
      <c r="K493" s="180"/>
      <c r="M493" s="180"/>
      <c r="N493" s="177"/>
    </row>
    <row r="494" ht="15.75" customHeight="1">
      <c r="D494" s="180"/>
      <c r="H494" s="176"/>
      <c r="I494" s="177"/>
      <c r="J494" s="180"/>
      <c r="K494" s="180"/>
      <c r="M494" s="180"/>
      <c r="N494" s="177"/>
    </row>
    <row r="495" ht="15.75" customHeight="1">
      <c r="D495" s="180"/>
      <c r="H495" s="176"/>
      <c r="I495" s="177"/>
      <c r="J495" s="180"/>
      <c r="K495" s="180"/>
      <c r="M495" s="180"/>
      <c r="N495" s="177"/>
    </row>
    <row r="496" ht="15.75" customHeight="1">
      <c r="D496" s="180"/>
      <c r="H496" s="176"/>
      <c r="I496" s="177"/>
      <c r="J496" s="180"/>
      <c r="K496" s="180"/>
      <c r="M496" s="180"/>
      <c r="N496" s="177"/>
    </row>
    <row r="497" ht="15.75" customHeight="1">
      <c r="D497" s="180"/>
      <c r="H497" s="176"/>
      <c r="I497" s="177"/>
      <c r="J497" s="180"/>
      <c r="K497" s="180"/>
      <c r="M497" s="180"/>
      <c r="N497" s="177"/>
    </row>
    <row r="498" ht="15.75" customHeight="1">
      <c r="D498" s="180"/>
      <c r="H498" s="176"/>
      <c r="I498" s="177"/>
      <c r="J498" s="180"/>
      <c r="K498" s="180"/>
      <c r="M498" s="180"/>
      <c r="N498" s="177"/>
    </row>
    <row r="499" ht="15.75" customHeight="1">
      <c r="D499" s="180"/>
      <c r="H499" s="176"/>
      <c r="I499" s="177"/>
      <c r="J499" s="180"/>
      <c r="K499" s="180"/>
      <c r="M499" s="180"/>
      <c r="N499" s="177"/>
    </row>
    <row r="500" ht="15.75" customHeight="1">
      <c r="D500" s="180"/>
      <c r="H500" s="176"/>
      <c r="I500" s="177"/>
      <c r="J500" s="180"/>
      <c r="K500" s="180"/>
      <c r="M500" s="180"/>
      <c r="N500" s="177"/>
    </row>
    <row r="501" ht="15.75" customHeight="1">
      <c r="D501" s="180"/>
      <c r="H501" s="176"/>
      <c r="I501" s="177"/>
      <c r="J501" s="180"/>
      <c r="K501" s="180"/>
      <c r="M501" s="180"/>
      <c r="N501" s="177"/>
    </row>
    <row r="502" ht="15.75" customHeight="1">
      <c r="D502" s="180"/>
      <c r="H502" s="176"/>
      <c r="I502" s="177"/>
      <c r="J502" s="180"/>
      <c r="K502" s="180"/>
      <c r="M502" s="180"/>
      <c r="N502" s="177"/>
    </row>
    <row r="503" ht="15.75" customHeight="1">
      <c r="D503" s="180"/>
      <c r="H503" s="176"/>
      <c r="I503" s="177"/>
      <c r="J503" s="180"/>
      <c r="K503" s="180"/>
      <c r="M503" s="180"/>
      <c r="N503" s="177"/>
    </row>
    <row r="504" ht="15.75" customHeight="1">
      <c r="D504" s="180"/>
      <c r="H504" s="176"/>
      <c r="I504" s="177"/>
      <c r="J504" s="180"/>
      <c r="K504" s="180"/>
      <c r="M504" s="180"/>
      <c r="N504" s="177"/>
    </row>
    <row r="505" ht="15.75" customHeight="1">
      <c r="D505" s="180"/>
      <c r="H505" s="176"/>
      <c r="I505" s="177"/>
      <c r="J505" s="180"/>
      <c r="K505" s="180"/>
      <c r="M505" s="180"/>
      <c r="N505" s="177"/>
    </row>
    <row r="506" ht="15.75" customHeight="1">
      <c r="D506" s="180"/>
      <c r="H506" s="176"/>
      <c r="I506" s="177"/>
      <c r="J506" s="180"/>
      <c r="K506" s="180"/>
      <c r="M506" s="180"/>
      <c r="N506" s="177"/>
    </row>
    <row r="507" ht="15.75" customHeight="1">
      <c r="D507" s="180"/>
      <c r="H507" s="176"/>
      <c r="I507" s="177"/>
      <c r="J507" s="180"/>
      <c r="K507" s="180"/>
      <c r="M507" s="180"/>
      <c r="N507" s="177"/>
    </row>
    <row r="508" ht="15.75" customHeight="1">
      <c r="D508" s="180"/>
      <c r="H508" s="176"/>
      <c r="I508" s="177"/>
      <c r="J508" s="180"/>
      <c r="K508" s="180"/>
      <c r="M508" s="180"/>
      <c r="N508" s="177"/>
    </row>
    <row r="509" ht="15.75" customHeight="1">
      <c r="D509" s="180"/>
      <c r="H509" s="176"/>
      <c r="I509" s="177"/>
      <c r="J509" s="180"/>
      <c r="K509" s="180"/>
      <c r="M509" s="180"/>
      <c r="N509" s="177"/>
    </row>
    <row r="510" ht="15.75" customHeight="1">
      <c r="D510" s="180"/>
      <c r="H510" s="176"/>
      <c r="I510" s="177"/>
      <c r="J510" s="180"/>
      <c r="K510" s="180"/>
      <c r="M510" s="180"/>
      <c r="N510" s="177"/>
    </row>
    <row r="511" ht="15.75" customHeight="1">
      <c r="D511" s="180"/>
      <c r="H511" s="176"/>
      <c r="I511" s="177"/>
      <c r="J511" s="180"/>
      <c r="K511" s="180"/>
      <c r="M511" s="180"/>
      <c r="N511" s="177"/>
    </row>
    <row r="512" ht="15.75" customHeight="1">
      <c r="D512" s="180"/>
      <c r="H512" s="176"/>
      <c r="I512" s="177"/>
      <c r="J512" s="180"/>
      <c r="K512" s="180"/>
      <c r="M512" s="180"/>
      <c r="N512" s="177"/>
    </row>
    <row r="513" ht="15.75" customHeight="1">
      <c r="D513" s="180"/>
      <c r="H513" s="176"/>
      <c r="I513" s="177"/>
      <c r="J513" s="180"/>
      <c r="K513" s="180"/>
      <c r="M513" s="180"/>
      <c r="N513" s="177"/>
    </row>
    <row r="514" ht="15.75" customHeight="1">
      <c r="D514" s="180"/>
      <c r="H514" s="176"/>
      <c r="I514" s="177"/>
      <c r="J514" s="180"/>
      <c r="K514" s="180"/>
      <c r="M514" s="180"/>
      <c r="N514" s="177"/>
    </row>
    <row r="515" ht="15.75" customHeight="1">
      <c r="D515" s="180"/>
      <c r="H515" s="176"/>
      <c r="I515" s="177"/>
      <c r="J515" s="180"/>
      <c r="K515" s="180"/>
      <c r="M515" s="180"/>
      <c r="N515" s="177"/>
    </row>
    <row r="516" ht="15.75" customHeight="1">
      <c r="D516" s="180"/>
      <c r="H516" s="176"/>
      <c r="I516" s="177"/>
      <c r="J516" s="180"/>
      <c r="K516" s="180"/>
      <c r="M516" s="180"/>
      <c r="N516" s="177"/>
    </row>
    <row r="517" ht="15.75" customHeight="1">
      <c r="D517" s="180"/>
      <c r="H517" s="176"/>
      <c r="I517" s="177"/>
      <c r="J517" s="180"/>
      <c r="K517" s="180"/>
      <c r="M517" s="180"/>
      <c r="N517" s="177"/>
    </row>
    <row r="518" ht="15.75" customHeight="1">
      <c r="D518" s="180"/>
      <c r="H518" s="176"/>
      <c r="I518" s="177"/>
      <c r="J518" s="180"/>
      <c r="K518" s="180"/>
      <c r="M518" s="180"/>
      <c r="N518" s="177"/>
    </row>
    <row r="519" ht="15.75" customHeight="1">
      <c r="D519" s="180"/>
      <c r="H519" s="176"/>
      <c r="I519" s="177"/>
      <c r="J519" s="180"/>
      <c r="K519" s="180"/>
      <c r="M519" s="180"/>
      <c r="N519" s="177"/>
    </row>
    <row r="520" ht="15.75" customHeight="1">
      <c r="D520" s="180"/>
      <c r="H520" s="176"/>
      <c r="I520" s="177"/>
      <c r="J520" s="180"/>
      <c r="K520" s="180"/>
      <c r="M520" s="180"/>
      <c r="N520" s="177"/>
    </row>
    <row r="521" ht="15.75" customHeight="1">
      <c r="D521" s="180"/>
      <c r="H521" s="176"/>
      <c r="I521" s="177"/>
      <c r="J521" s="180"/>
      <c r="K521" s="180"/>
      <c r="M521" s="180"/>
      <c r="N521" s="177"/>
    </row>
    <row r="522" ht="15.75" customHeight="1">
      <c r="D522" s="180"/>
      <c r="H522" s="176"/>
      <c r="I522" s="177"/>
      <c r="J522" s="180"/>
      <c r="K522" s="180"/>
      <c r="M522" s="180"/>
      <c r="N522" s="177"/>
    </row>
    <row r="523" ht="15.75" customHeight="1">
      <c r="D523" s="180"/>
      <c r="H523" s="176"/>
      <c r="I523" s="177"/>
      <c r="J523" s="180"/>
      <c r="K523" s="180"/>
      <c r="M523" s="180"/>
      <c r="N523" s="177"/>
    </row>
    <row r="524" ht="15.75" customHeight="1">
      <c r="D524" s="180"/>
      <c r="H524" s="176"/>
      <c r="I524" s="177"/>
      <c r="J524" s="180"/>
      <c r="K524" s="180"/>
      <c r="M524" s="180"/>
      <c r="N524" s="177"/>
    </row>
    <row r="525" ht="15.75" customHeight="1">
      <c r="D525" s="180"/>
      <c r="H525" s="176"/>
      <c r="I525" s="177"/>
      <c r="J525" s="180"/>
      <c r="K525" s="180"/>
      <c r="M525" s="180"/>
      <c r="N525" s="177"/>
    </row>
    <row r="526" ht="15.75" customHeight="1">
      <c r="D526" s="180"/>
      <c r="H526" s="176"/>
      <c r="I526" s="177"/>
      <c r="J526" s="180"/>
      <c r="K526" s="180"/>
      <c r="M526" s="180"/>
      <c r="N526" s="177"/>
    </row>
    <row r="527" ht="15.75" customHeight="1">
      <c r="D527" s="180"/>
      <c r="H527" s="176"/>
      <c r="I527" s="177"/>
      <c r="J527" s="180"/>
      <c r="K527" s="180"/>
      <c r="M527" s="180"/>
      <c r="N527" s="177"/>
    </row>
    <row r="528" ht="15.75" customHeight="1">
      <c r="D528" s="180"/>
      <c r="H528" s="176"/>
      <c r="I528" s="177"/>
      <c r="J528" s="180"/>
      <c r="K528" s="180"/>
      <c r="M528" s="180"/>
      <c r="N528" s="177"/>
    </row>
    <row r="529" ht="15.75" customHeight="1">
      <c r="D529" s="180"/>
      <c r="H529" s="176"/>
      <c r="I529" s="177"/>
      <c r="J529" s="180"/>
      <c r="K529" s="180"/>
      <c r="M529" s="180"/>
      <c r="N529" s="177"/>
    </row>
    <row r="530" ht="15.75" customHeight="1">
      <c r="D530" s="180"/>
      <c r="H530" s="176"/>
      <c r="I530" s="177"/>
      <c r="J530" s="180"/>
      <c r="K530" s="180"/>
      <c r="M530" s="180"/>
      <c r="N530" s="177"/>
    </row>
    <row r="531" ht="15.75" customHeight="1">
      <c r="D531" s="180"/>
      <c r="H531" s="176"/>
      <c r="I531" s="177"/>
      <c r="J531" s="180"/>
      <c r="K531" s="180"/>
      <c r="M531" s="180"/>
      <c r="N531" s="177"/>
    </row>
    <row r="532" ht="15.75" customHeight="1">
      <c r="D532" s="180"/>
      <c r="H532" s="176"/>
      <c r="I532" s="177"/>
      <c r="J532" s="180"/>
      <c r="K532" s="180"/>
      <c r="M532" s="180"/>
      <c r="N532" s="177"/>
    </row>
    <row r="533" ht="15.75" customHeight="1">
      <c r="D533" s="180"/>
      <c r="H533" s="176"/>
      <c r="I533" s="177"/>
      <c r="J533" s="180"/>
      <c r="K533" s="180"/>
      <c r="M533" s="180"/>
      <c r="N533" s="177"/>
    </row>
    <row r="534" ht="15.75" customHeight="1">
      <c r="D534" s="180"/>
      <c r="H534" s="176"/>
      <c r="I534" s="177"/>
      <c r="J534" s="180"/>
      <c r="K534" s="180"/>
      <c r="M534" s="180"/>
      <c r="N534" s="177"/>
    </row>
    <row r="535" ht="15.75" customHeight="1">
      <c r="D535" s="180"/>
      <c r="H535" s="176"/>
      <c r="I535" s="177"/>
      <c r="J535" s="180"/>
      <c r="K535" s="180"/>
      <c r="M535" s="180"/>
      <c r="N535" s="177"/>
    </row>
    <row r="536" ht="15.75" customHeight="1">
      <c r="D536" s="180"/>
      <c r="H536" s="176"/>
      <c r="I536" s="177"/>
      <c r="J536" s="180"/>
      <c r="K536" s="180"/>
      <c r="M536" s="180"/>
      <c r="N536" s="177"/>
    </row>
    <row r="537" ht="15.75" customHeight="1">
      <c r="D537" s="180"/>
      <c r="H537" s="176"/>
      <c r="I537" s="177"/>
      <c r="J537" s="180"/>
      <c r="K537" s="180"/>
      <c r="M537" s="180"/>
      <c r="N537" s="177"/>
    </row>
    <row r="538" ht="15.75" customHeight="1">
      <c r="D538" s="180"/>
      <c r="H538" s="176"/>
      <c r="I538" s="177"/>
      <c r="J538" s="180"/>
      <c r="K538" s="180"/>
      <c r="M538" s="180"/>
      <c r="N538" s="177"/>
    </row>
    <row r="539" ht="15.75" customHeight="1">
      <c r="D539" s="180"/>
      <c r="H539" s="176"/>
      <c r="I539" s="177"/>
      <c r="J539" s="180"/>
      <c r="K539" s="180"/>
      <c r="M539" s="180"/>
      <c r="N539" s="177"/>
    </row>
    <row r="540" ht="15.75" customHeight="1">
      <c r="D540" s="180"/>
      <c r="H540" s="176"/>
      <c r="I540" s="177"/>
      <c r="J540" s="180"/>
      <c r="K540" s="180"/>
      <c r="M540" s="180"/>
      <c r="N540" s="177"/>
    </row>
    <row r="541" ht="15.75" customHeight="1">
      <c r="D541" s="180"/>
      <c r="H541" s="176"/>
      <c r="I541" s="177"/>
      <c r="J541" s="180"/>
      <c r="K541" s="180"/>
      <c r="M541" s="180"/>
      <c r="N541" s="177"/>
    </row>
    <row r="542" ht="15.75" customHeight="1">
      <c r="D542" s="180"/>
      <c r="H542" s="176"/>
      <c r="I542" s="177"/>
      <c r="J542" s="180"/>
      <c r="K542" s="180"/>
      <c r="M542" s="180"/>
      <c r="N542" s="177"/>
    </row>
    <row r="543" ht="15.75" customHeight="1">
      <c r="D543" s="180"/>
      <c r="H543" s="176"/>
      <c r="I543" s="177"/>
      <c r="J543" s="180"/>
      <c r="K543" s="180"/>
      <c r="M543" s="180"/>
      <c r="N543" s="177"/>
    </row>
    <row r="544" ht="15.75" customHeight="1">
      <c r="D544" s="180"/>
      <c r="H544" s="176"/>
      <c r="I544" s="177"/>
      <c r="J544" s="180"/>
      <c r="K544" s="180"/>
      <c r="M544" s="180"/>
      <c r="N544" s="177"/>
    </row>
    <row r="545" ht="15.75" customHeight="1">
      <c r="D545" s="180"/>
      <c r="H545" s="176"/>
      <c r="I545" s="177"/>
      <c r="J545" s="180"/>
      <c r="K545" s="180"/>
      <c r="M545" s="180"/>
      <c r="N545" s="177"/>
    </row>
    <row r="546" ht="15.75" customHeight="1">
      <c r="D546" s="180"/>
      <c r="H546" s="176"/>
      <c r="I546" s="177"/>
      <c r="J546" s="180"/>
      <c r="K546" s="180"/>
      <c r="M546" s="180"/>
      <c r="N546" s="177"/>
    </row>
    <row r="547" ht="15.75" customHeight="1">
      <c r="D547" s="180"/>
      <c r="H547" s="176"/>
      <c r="I547" s="177"/>
      <c r="J547" s="180"/>
      <c r="K547" s="180"/>
      <c r="M547" s="180"/>
      <c r="N547" s="177"/>
    </row>
    <row r="548" ht="15.75" customHeight="1">
      <c r="D548" s="180"/>
      <c r="H548" s="176"/>
      <c r="I548" s="177"/>
      <c r="J548" s="180"/>
      <c r="K548" s="180"/>
      <c r="M548" s="180"/>
      <c r="N548" s="177"/>
    </row>
    <row r="549" ht="15.75" customHeight="1">
      <c r="D549" s="180"/>
      <c r="H549" s="176"/>
      <c r="I549" s="177"/>
      <c r="J549" s="180"/>
      <c r="K549" s="180"/>
      <c r="M549" s="180"/>
      <c r="N549" s="177"/>
    </row>
    <row r="550" ht="15.75" customHeight="1">
      <c r="D550" s="180"/>
      <c r="H550" s="176"/>
      <c r="I550" s="177"/>
      <c r="J550" s="180"/>
      <c r="K550" s="180"/>
      <c r="M550" s="180"/>
      <c r="N550" s="177"/>
    </row>
    <row r="551" ht="15.75" customHeight="1">
      <c r="D551" s="180"/>
      <c r="H551" s="176"/>
      <c r="I551" s="177"/>
      <c r="J551" s="180"/>
      <c r="K551" s="180"/>
      <c r="M551" s="180"/>
      <c r="N551" s="177"/>
    </row>
    <row r="552" ht="15.75" customHeight="1">
      <c r="D552" s="180"/>
      <c r="H552" s="176"/>
      <c r="I552" s="177"/>
      <c r="J552" s="180"/>
      <c r="K552" s="180"/>
      <c r="M552" s="180"/>
      <c r="N552" s="177"/>
    </row>
    <row r="553" ht="15.75" customHeight="1">
      <c r="D553" s="180"/>
      <c r="H553" s="176"/>
      <c r="I553" s="177"/>
      <c r="J553" s="180"/>
      <c r="K553" s="180"/>
      <c r="M553" s="180"/>
      <c r="N553" s="177"/>
    </row>
    <row r="554" ht="15.75" customHeight="1">
      <c r="D554" s="180"/>
      <c r="H554" s="176"/>
      <c r="I554" s="177"/>
      <c r="J554" s="180"/>
      <c r="K554" s="180"/>
      <c r="M554" s="180"/>
      <c r="N554" s="177"/>
    </row>
    <row r="555" ht="15.75" customHeight="1">
      <c r="D555" s="180"/>
      <c r="H555" s="176"/>
      <c r="I555" s="177"/>
      <c r="J555" s="180"/>
      <c r="K555" s="180"/>
      <c r="M555" s="180"/>
      <c r="N555" s="177"/>
    </row>
    <row r="556" ht="15.75" customHeight="1">
      <c r="D556" s="180"/>
      <c r="H556" s="176"/>
      <c r="I556" s="177"/>
      <c r="J556" s="180"/>
      <c r="K556" s="180"/>
      <c r="M556" s="180"/>
      <c r="N556" s="177"/>
    </row>
    <row r="557" ht="15.75" customHeight="1">
      <c r="D557" s="180"/>
      <c r="H557" s="176"/>
      <c r="I557" s="177"/>
      <c r="J557" s="180"/>
      <c r="K557" s="180"/>
      <c r="M557" s="180"/>
      <c r="N557" s="177"/>
    </row>
    <row r="558" ht="15.75" customHeight="1">
      <c r="D558" s="180"/>
      <c r="H558" s="176"/>
      <c r="I558" s="177"/>
      <c r="J558" s="180"/>
      <c r="K558" s="180"/>
      <c r="M558" s="180"/>
      <c r="N558" s="177"/>
    </row>
    <row r="559" ht="15.75" customHeight="1">
      <c r="D559" s="180"/>
      <c r="H559" s="176"/>
      <c r="I559" s="177"/>
      <c r="J559" s="180"/>
      <c r="K559" s="180"/>
      <c r="M559" s="180"/>
      <c r="N559" s="177"/>
    </row>
    <row r="560" ht="15.75" customHeight="1">
      <c r="D560" s="180"/>
      <c r="H560" s="176"/>
      <c r="I560" s="177"/>
      <c r="J560" s="180"/>
      <c r="K560" s="180"/>
      <c r="M560" s="180"/>
      <c r="N560" s="177"/>
    </row>
    <row r="561" ht="15.75" customHeight="1">
      <c r="D561" s="180"/>
      <c r="H561" s="176"/>
      <c r="I561" s="177"/>
      <c r="J561" s="180"/>
      <c r="K561" s="180"/>
      <c r="M561" s="180"/>
      <c r="N561" s="177"/>
    </row>
    <row r="562" ht="15.75" customHeight="1">
      <c r="D562" s="180"/>
      <c r="H562" s="176"/>
      <c r="I562" s="177"/>
      <c r="J562" s="180"/>
      <c r="K562" s="180"/>
      <c r="M562" s="180"/>
      <c r="N562" s="177"/>
    </row>
    <row r="563" ht="15.75" customHeight="1">
      <c r="D563" s="180"/>
      <c r="H563" s="176"/>
      <c r="I563" s="177"/>
      <c r="J563" s="180"/>
      <c r="K563" s="180"/>
      <c r="M563" s="180"/>
      <c r="N563" s="177"/>
    </row>
    <row r="564" ht="15.75" customHeight="1">
      <c r="D564" s="180"/>
      <c r="H564" s="176"/>
      <c r="I564" s="177"/>
      <c r="J564" s="180"/>
      <c r="K564" s="180"/>
      <c r="M564" s="180"/>
      <c r="N564" s="177"/>
    </row>
    <row r="565" ht="15.75" customHeight="1">
      <c r="D565" s="180"/>
      <c r="H565" s="176"/>
      <c r="I565" s="177"/>
      <c r="J565" s="180"/>
      <c r="K565" s="180"/>
      <c r="M565" s="180"/>
      <c r="N565" s="177"/>
    </row>
    <row r="566" ht="15.75" customHeight="1">
      <c r="D566" s="180"/>
      <c r="H566" s="176"/>
      <c r="I566" s="177"/>
      <c r="J566" s="180"/>
      <c r="K566" s="180"/>
      <c r="M566" s="180"/>
      <c r="N566" s="177"/>
    </row>
    <row r="567" ht="15.75" customHeight="1">
      <c r="D567" s="180"/>
      <c r="H567" s="176"/>
      <c r="I567" s="177"/>
      <c r="J567" s="180"/>
      <c r="K567" s="180"/>
      <c r="M567" s="180"/>
      <c r="N567" s="177"/>
    </row>
    <row r="568" ht="15.75" customHeight="1">
      <c r="D568" s="180"/>
      <c r="H568" s="176"/>
      <c r="I568" s="177"/>
      <c r="J568" s="180"/>
      <c r="K568" s="180"/>
      <c r="M568" s="180"/>
      <c r="N568" s="177"/>
    </row>
    <row r="569" ht="15.75" customHeight="1">
      <c r="D569" s="180"/>
      <c r="H569" s="176"/>
      <c r="I569" s="177"/>
      <c r="J569" s="180"/>
      <c r="K569" s="180"/>
      <c r="M569" s="180"/>
      <c r="N569" s="177"/>
    </row>
    <row r="570" ht="15.75" customHeight="1">
      <c r="D570" s="180"/>
      <c r="H570" s="176"/>
      <c r="I570" s="177"/>
      <c r="J570" s="180"/>
      <c r="K570" s="180"/>
      <c r="M570" s="180"/>
      <c r="N570" s="177"/>
    </row>
    <row r="571" ht="15.75" customHeight="1">
      <c r="D571" s="180"/>
      <c r="H571" s="176"/>
      <c r="I571" s="177"/>
      <c r="J571" s="180"/>
      <c r="K571" s="180"/>
      <c r="M571" s="180"/>
      <c r="N571" s="177"/>
    </row>
    <row r="572" ht="15.75" customHeight="1">
      <c r="D572" s="180"/>
      <c r="H572" s="176"/>
      <c r="I572" s="177"/>
      <c r="J572" s="180"/>
      <c r="K572" s="180"/>
      <c r="M572" s="180"/>
      <c r="N572" s="177"/>
    </row>
    <row r="573" ht="15.75" customHeight="1">
      <c r="D573" s="180"/>
      <c r="H573" s="176"/>
      <c r="I573" s="177"/>
      <c r="J573" s="180"/>
      <c r="K573" s="180"/>
      <c r="M573" s="180"/>
      <c r="N573" s="177"/>
    </row>
    <row r="574" ht="15.75" customHeight="1">
      <c r="D574" s="180"/>
      <c r="H574" s="176"/>
      <c r="I574" s="177"/>
      <c r="J574" s="180"/>
      <c r="K574" s="180"/>
      <c r="M574" s="180"/>
      <c r="N574" s="177"/>
    </row>
    <row r="575" ht="15.75" customHeight="1">
      <c r="D575" s="180"/>
      <c r="H575" s="176"/>
      <c r="I575" s="177"/>
      <c r="J575" s="180"/>
      <c r="K575" s="180"/>
      <c r="M575" s="180"/>
      <c r="N575" s="177"/>
    </row>
    <row r="576" ht="15.75" customHeight="1">
      <c r="D576" s="180"/>
      <c r="H576" s="176"/>
      <c r="I576" s="177"/>
      <c r="J576" s="180"/>
      <c r="K576" s="180"/>
      <c r="M576" s="180"/>
      <c r="N576" s="177"/>
    </row>
    <row r="577" ht="15.75" customHeight="1">
      <c r="D577" s="180"/>
      <c r="H577" s="176"/>
      <c r="I577" s="177"/>
      <c r="J577" s="180"/>
      <c r="K577" s="180"/>
      <c r="M577" s="180"/>
      <c r="N577" s="177"/>
    </row>
    <row r="578" ht="15.75" customHeight="1">
      <c r="D578" s="180"/>
      <c r="H578" s="176"/>
      <c r="I578" s="177"/>
      <c r="J578" s="180"/>
      <c r="K578" s="180"/>
      <c r="M578" s="180"/>
      <c r="N578" s="177"/>
    </row>
    <row r="579" ht="15.75" customHeight="1">
      <c r="D579" s="180"/>
      <c r="H579" s="176"/>
      <c r="I579" s="177"/>
      <c r="J579" s="180"/>
      <c r="K579" s="180"/>
      <c r="M579" s="180"/>
      <c r="N579" s="177"/>
    </row>
    <row r="580" ht="15.75" customHeight="1">
      <c r="D580" s="180"/>
      <c r="H580" s="176"/>
      <c r="I580" s="177"/>
      <c r="J580" s="180"/>
      <c r="K580" s="180"/>
      <c r="M580" s="180"/>
      <c r="N580" s="177"/>
    </row>
    <row r="581" ht="15.75" customHeight="1">
      <c r="D581" s="180"/>
      <c r="H581" s="176"/>
      <c r="I581" s="177"/>
      <c r="J581" s="180"/>
      <c r="K581" s="180"/>
      <c r="M581" s="180"/>
      <c r="N581" s="177"/>
    </row>
    <row r="582" ht="15.75" customHeight="1">
      <c r="D582" s="180"/>
      <c r="H582" s="176"/>
      <c r="I582" s="177"/>
      <c r="J582" s="180"/>
      <c r="K582" s="180"/>
      <c r="M582" s="180"/>
      <c r="N582" s="177"/>
    </row>
    <row r="583" ht="15.75" customHeight="1">
      <c r="D583" s="180"/>
      <c r="H583" s="176"/>
      <c r="I583" s="177"/>
      <c r="J583" s="180"/>
      <c r="K583" s="180"/>
      <c r="M583" s="180"/>
      <c r="N583" s="177"/>
    </row>
    <row r="584" ht="15.75" customHeight="1">
      <c r="D584" s="180"/>
      <c r="H584" s="176"/>
      <c r="I584" s="177"/>
      <c r="J584" s="180"/>
      <c r="K584" s="180"/>
      <c r="M584" s="180"/>
      <c r="N584" s="177"/>
    </row>
    <row r="585" ht="15.75" customHeight="1">
      <c r="D585" s="180"/>
      <c r="H585" s="176"/>
      <c r="I585" s="177"/>
      <c r="J585" s="180"/>
      <c r="K585" s="180"/>
      <c r="M585" s="180"/>
      <c r="N585" s="177"/>
    </row>
    <row r="586" ht="15.75" customHeight="1">
      <c r="D586" s="180"/>
      <c r="H586" s="176"/>
      <c r="I586" s="177"/>
      <c r="J586" s="180"/>
      <c r="K586" s="180"/>
      <c r="M586" s="180"/>
      <c r="N586" s="177"/>
    </row>
    <row r="587" ht="15.75" customHeight="1">
      <c r="D587" s="180"/>
      <c r="H587" s="176"/>
      <c r="I587" s="177"/>
      <c r="J587" s="180"/>
      <c r="K587" s="180"/>
      <c r="M587" s="180"/>
      <c r="N587" s="177"/>
    </row>
    <row r="588" ht="15.75" customHeight="1">
      <c r="D588" s="180"/>
      <c r="H588" s="176"/>
      <c r="I588" s="177"/>
      <c r="J588" s="180"/>
      <c r="K588" s="180"/>
      <c r="M588" s="180"/>
      <c r="N588" s="177"/>
    </row>
    <row r="589" ht="15.75" customHeight="1">
      <c r="D589" s="180"/>
      <c r="H589" s="176"/>
      <c r="I589" s="177"/>
      <c r="J589" s="180"/>
      <c r="K589" s="180"/>
      <c r="M589" s="180"/>
      <c r="N589" s="177"/>
    </row>
    <row r="590" ht="15.75" customHeight="1">
      <c r="D590" s="180"/>
      <c r="H590" s="176"/>
      <c r="I590" s="177"/>
      <c r="J590" s="180"/>
      <c r="K590" s="180"/>
      <c r="M590" s="180"/>
      <c r="N590" s="177"/>
    </row>
    <row r="591" ht="15.75" customHeight="1">
      <c r="D591" s="180"/>
      <c r="H591" s="176"/>
      <c r="I591" s="177"/>
      <c r="J591" s="180"/>
      <c r="K591" s="180"/>
      <c r="M591" s="180"/>
      <c r="N591" s="177"/>
    </row>
    <row r="592" ht="15.75" customHeight="1">
      <c r="D592" s="180"/>
      <c r="H592" s="176"/>
      <c r="I592" s="177"/>
      <c r="J592" s="180"/>
      <c r="K592" s="180"/>
      <c r="M592" s="180"/>
      <c r="N592" s="177"/>
    </row>
    <row r="593" ht="15.75" customHeight="1">
      <c r="D593" s="180"/>
      <c r="H593" s="176"/>
      <c r="I593" s="177"/>
      <c r="J593" s="180"/>
      <c r="K593" s="180"/>
      <c r="M593" s="180"/>
      <c r="N593" s="177"/>
    </row>
    <row r="594" ht="15.75" customHeight="1">
      <c r="D594" s="180"/>
      <c r="H594" s="176"/>
      <c r="I594" s="177"/>
      <c r="J594" s="180"/>
      <c r="K594" s="180"/>
      <c r="M594" s="180"/>
      <c r="N594" s="177"/>
    </row>
    <row r="595" ht="15.75" customHeight="1">
      <c r="D595" s="180"/>
      <c r="H595" s="176"/>
      <c r="I595" s="177"/>
      <c r="J595" s="180"/>
      <c r="K595" s="180"/>
      <c r="M595" s="180"/>
      <c r="N595" s="177"/>
    </row>
    <row r="596" ht="15.75" customHeight="1">
      <c r="D596" s="180"/>
      <c r="H596" s="176"/>
      <c r="I596" s="177"/>
      <c r="J596" s="180"/>
      <c r="K596" s="180"/>
      <c r="M596" s="180"/>
      <c r="N596" s="177"/>
    </row>
    <row r="597" ht="15.75" customHeight="1">
      <c r="D597" s="180"/>
      <c r="H597" s="176"/>
      <c r="I597" s="177"/>
      <c r="J597" s="180"/>
      <c r="K597" s="180"/>
      <c r="M597" s="180"/>
      <c r="N597" s="177"/>
    </row>
    <row r="598" ht="15.75" customHeight="1">
      <c r="D598" s="180"/>
      <c r="H598" s="176"/>
      <c r="I598" s="177"/>
      <c r="J598" s="180"/>
      <c r="K598" s="180"/>
      <c r="M598" s="180"/>
      <c r="N598" s="177"/>
    </row>
    <row r="599" ht="15.75" customHeight="1">
      <c r="D599" s="180"/>
      <c r="H599" s="176"/>
      <c r="I599" s="177"/>
      <c r="J599" s="180"/>
      <c r="K599" s="180"/>
      <c r="M599" s="180"/>
      <c r="N599" s="177"/>
    </row>
    <row r="600" ht="15.75" customHeight="1">
      <c r="D600" s="180"/>
      <c r="H600" s="176"/>
      <c r="I600" s="177"/>
      <c r="J600" s="180"/>
      <c r="K600" s="180"/>
      <c r="M600" s="180"/>
      <c r="N600" s="177"/>
    </row>
    <row r="601" ht="15.75" customHeight="1">
      <c r="D601" s="180"/>
      <c r="H601" s="176"/>
      <c r="I601" s="177"/>
      <c r="J601" s="180"/>
      <c r="K601" s="180"/>
      <c r="M601" s="180"/>
      <c r="N601" s="177"/>
    </row>
    <row r="602" ht="15.75" customHeight="1">
      <c r="D602" s="180"/>
      <c r="H602" s="176"/>
      <c r="I602" s="177"/>
      <c r="J602" s="180"/>
      <c r="K602" s="180"/>
      <c r="M602" s="180"/>
      <c r="N602" s="177"/>
    </row>
    <row r="603" ht="15.75" customHeight="1">
      <c r="D603" s="180"/>
      <c r="H603" s="176"/>
      <c r="I603" s="177"/>
      <c r="J603" s="180"/>
      <c r="K603" s="180"/>
      <c r="M603" s="180"/>
      <c r="N603" s="177"/>
    </row>
    <row r="604" ht="15.75" customHeight="1">
      <c r="D604" s="180"/>
      <c r="H604" s="176"/>
      <c r="I604" s="177"/>
      <c r="J604" s="180"/>
      <c r="K604" s="180"/>
      <c r="M604" s="180"/>
      <c r="N604" s="177"/>
    </row>
    <row r="605" ht="15.75" customHeight="1">
      <c r="D605" s="180"/>
      <c r="H605" s="176"/>
      <c r="I605" s="177"/>
      <c r="J605" s="180"/>
      <c r="K605" s="180"/>
      <c r="M605" s="180"/>
      <c r="N605" s="177"/>
    </row>
    <row r="606" ht="15.75" customHeight="1">
      <c r="D606" s="180"/>
      <c r="H606" s="176"/>
      <c r="I606" s="177"/>
      <c r="J606" s="180"/>
      <c r="K606" s="180"/>
      <c r="M606" s="180"/>
      <c r="N606" s="177"/>
    </row>
    <row r="607" ht="15.75" customHeight="1">
      <c r="D607" s="180"/>
      <c r="H607" s="176"/>
      <c r="I607" s="177"/>
      <c r="J607" s="180"/>
      <c r="K607" s="180"/>
      <c r="M607" s="180"/>
      <c r="N607" s="177"/>
    </row>
    <row r="608" ht="15.75" customHeight="1">
      <c r="D608" s="180"/>
      <c r="H608" s="176"/>
      <c r="I608" s="177"/>
      <c r="J608" s="180"/>
      <c r="K608" s="180"/>
      <c r="M608" s="180"/>
      <c r="N608" s="177"/>
    </row>
    <row r="609" ht="15.75" customHeight="1">
      <c r="D609" s="180"/>
      <c r="H609" s="176"/>
      <c r="I609" s="177"/>
      <c r="J609" s="180"/>
      <c r="K609" s="180"/>
      <c r="M609" s="180"/>
      <c r="N609" s="177"/>
    </row>
    <row r="610" ht="15.75" customHeight="1">
      <c r="D610" s="180"/>
      <c r="H610" s="176"/>
      <c r="I610" s="177"/>
      <c r="J610" s="180"/>
      <c r="K610" s="180"/>
      <c r="M610" s="180"/>
      <c r="N610" s="177"/>
    </row>
    <row r="611" ht="15.75" customHeight="1">
      <c r="D611" s="180"/>
      <c r="H611" s="176"/>
      <c r="I611" s="177"/>
      <c r="J611" s="180"/>
      <c r="K611" s="180"/>
      <c r="M611" s="180"/>
      <c r="N611" s="177"/>
    </row>
    <row r="612" ht="15.75" customHeight="1">
      <c r="D612" s="180"/>
      <c r="H612" s="176"/>
      <c r="I612" s="177"/>
      <c r="J612" s="180"/>
      <c r="K612" s="180"/>
      <c r="M612" s="180"/>
      <c r="N612" s="177"/>
    </row>
    <row r="613" ht="15.75" customHeight="1">
      <c r="D613" s="180"/>
      <c r="H613" s="176"/>
      <c r="I613" s="177"/>
      <c r="J613" s="180"/>
      <c r="K613" s="180"/>
      <c r="M613" s="180"/>
      <c r="N613" s="177"/>
    </row>
    <row r="614" ht="15.75" customHeight="1">
      <c r="D614" s="180"/>
      <c r="H614" s="176"/>
      <c r="I614" s="177"/>
      <c r="J614" s="180"/>
      <c r="K614" s="180"/>
      <c r="M614" s="180"/>
      <c r="N614" s="177"/>
    </row>
    <row r="615" ht="15.75" customHeight="1">
      <c r="D615" s="180"/>
      <c r="H615" s="176"/>
      <c r="I615" s="177"/>
      <c r="J615" s="180"/>
      <c r="K615" s="180"/>
      <c r="M615" s="180"/>
      <c r="N615" s="177"/>
    </row>
    <row r="616" ht="15.75" customHeight="1">
      <c r="D616" s="180"/>
      <c r="H616" s="176"/>
      <c r="I616" s="177"/>
      <c r="J616" s="180"/>
      <c r="K616" s="180"/>
      <c r="M616" s="180"/>
      <c r="N616" s="177"/>
    </row>
    <row r="617" ht="15.75" customHeight="1">
      <c r="D617" s="180"/>
      <c r="H617" s="176"/>
      <c r="I617" s="177"/>
      <c r="J617" s="180"/>
      <c r="K617" s="180"/>
      <c r="M617" s="180"/>
      <c r="N617" s="177"/>
    </row>
    <row r="618" ht="15.75" customHeight="1">
      <c r="D618" s="180"/>
      <c r="H618" s="176"/>
      <c r="I618" s="177"/>
      <c r="J618" s="180"/>
      <c r="K618" s="180"/>
      <c r="M618" s="180"/>
      <c r="N618" s="177"/>
    </row>
    <row r="619" ht="15.75" customHeight="1">
      <c r="D619" s="180"/>
      <c r="H619" s="176"/>
      <c r="I619" s="177"/>
      <c r="J619" s="180"/>
      <c r="K619" s="180"/>
      <c r="M619" s="180"/>
      <c r="N619" s="177"/>
    </row>
    <row r="620" ht="15.75" customHeight="1">
      <c r="D620" s="180"/>
      <c r="H620" s="176"/>
      <c r="I620" s="177"/>
      <c r="J620" s="180"/>
      <c r="K620" s="180"/>
      <c r="M620" s="180"/>
      <c r="N620" s="177"/>
    </row>
    <row r="621" ht="15.75" customHeight="1">
      <c r="D621" s="180"/>
      <c r="H621" s="176"/>
      <c r="I621" s="177"/>
      <c r="J621" s="180"/>
      <c r="K621" s="180"/>
      <c r="M621" s="180"/>
      <c r="N621" s="177"/>
    </row>
    <row r="622" ht="15.75" customHeight="1">
      <c r="D622" s="180"/>
      <c r="H622" s="176"/>
      <c r="I622" s="177"/>
      <c r="J622" s="180"/>
      <c r="K622" s="180"/>
      <c r="M622" s="180"/>
      <c r="N622" s="177"/>
    </row>
    <row r="623" ht="15.75" customHeight="1">
      <c r="D623" s="180"/>
      <c r="H623" s="176"/>
      <c r="I623" s="177"/>
      <c r="J623" s="180"/>
      <c r="K623" s="180"/>
      <c r="M623" s="180"/>
      <c r="N623" s="177"/>
    </row>
    <row r="624" ht="15.75" customHeight="1">
      <c r="D624" s="180"/>
      <c r="H624" s="176"/>
      <c r="I624" s="177"/>
      <c r="J624" s="180"/>
      <c r="K624" s="180"/>
      <c r="M624" s="180"/>
      <c r="N624" s="177"/>
    </row>
    <row r="625" ht="15.75" customHeight="1">
      <c r="D625" s="180"/>
      <c r="H625" s="176"/>
      <c r="I625" s="177"/>
      <c r="J625" s="180"/>
      <c r="K625" s="180"/>
      <c r="M625" s="180"/>
      <c r="N625" s="177"/>
    </row>
    <row r="626" ht="15.75" customHeight="1">
      <c r="D626" s="180"/>
      <c r="H626" s="176"/>
      <c r="I626" s="177"/>
      <c r="J626" s="180"/>
      <c r="K626" s="180"/>
      <c r="M626" s="180"/>
      <c r="N626" s="177"/>
    </row>
    <row r="627" ht="15.75" customHeight="1">
      <c r="D627" s="180"/>
      <c r="H627" s="176"/>
      <c r="I627" s="177"/>
      <c r="J627" s="180"/>
      <c r="K627" s="180"/>
      <c r="M627" s="180"/>
      <c r="N627" s="177"/>
    </row>
    <row r="628" ht="15.75" customHeight="1">
      <c r="D628" s="180"/>
      <c r="H628" s="176"/>
      <c r="I628" s="177"/>
      <c r="J628" s="180"/>
      <c r="K628" s="180"/>
      <c r="M628" s="180"/>
      <c r="N628" s="177"/>
    </row>
    <row r="629" ht="15.75" customHeight="1">
      <c r="D629" s="180"/>
      <c r="H629" s="176"/>
      <c r="I629" s="177"/>
      <c r="J629" s="180"/>
      <c r="K629" s="180"/>
      <c r="M629" s="180"/>
      <c r="N629" s="177"/>
    </row>
    <row r="630" ht="15.75" customHeight="1">
      <c r="D630" s="180"/>
      <c r="H630" s="176"/>
      <c r="I630" s="177"/>
      <c r="J630" s="180"/>
      <c r="K630" s="180"/>
      <c r="M630" s="180"/>
      <c r="N630" s="177"/>
    </row>
    <row r="631" ht="15.75" customHeight="1">
      <c r="D631" s="180"/>
      <c r="H631" s="176"/>
      <c r="I631" s="177"/>
      <c r="J631" s="180"/>
      <c r="K631" s="180"/>
      <c r="M631" s="180"/>
      <c r="N631" s="177"/>
    </row>
    <row r="632" ht="15.75" customHeight="1">
      <c r="D632" s="180"/>
      <c r="H632" s="176"/>
      <c r="I632" s="177"/>
      <c r="J632" s="180"/>
      <c r="K632" s="180"/>
      <c r="M632" s="180"/>
      <c r="N632" s="177"/>
    </row>
    <row r="633" ht="15.75" customHeight="1">
      <c r="D633" s="180"/>
      <c r="H633" s="176"/>
      <c r="I633" s="177"/>
      <c r="J633" s="180"/>
      <c r="K633" s="180"/>
      <c r="M633" s="180"/>
      <c r="N633" s="177"/>
    </row>
    <row r="634" ht="15.75" customHeight="1">
      <c r="D634" s="180"/>
      <c r="H634" s="176"/>
      <c r="I634" s="177"/>
      <c r="J634" s="180"/>
      <c r="K634" s="180"/>
      <c r="M634" s="180"/>
      <c r="N634" s="177"/>
    </row>
    <row r="635" ht="15.75" customHeight="1">
      <c r="D635" s="180"/>
      <c r="H635" s="176"/>
      <c r="I635" s="177"/>
      <c r="J635" s="180"/>
      <c r="K635" s="180"/>
      <c r="M635" s="180"/>
      <c r="N635" s="177"/>
    </row>
    <row r="636" ht="15.75" customHeight="1">
      <c r="D636" s="180"/>
      <c r="H636" s="176"/>
      <c r="I636" s="177"/>
      <c r="J636" s="180"/>
      <c r="K636" s="180"/>
      <c r="M636" s="180"/>
      <c r="N636" s="177"/>
    </row>
    <row r="637" ht="15.75" customHeight="1">
      <c r="D637" s="180"/>
      <c r="H637" s="176"/>
      <c r="I637" s="177"/>
      <c r="J637" s="180"/>
      <c r="K637" s="180"/>
      <c r="M637" s="180"/>
      <c r="N637" s="177"/>
    </row>
    <row r="638" ht="15.75" customHeight="1">
      <c r="D638" s="180"/>
      <c r="H638" s="176"/>
      <c r="I638" s="177"/>
      <c r="J638" s="180"/>
      <c r="K638" s="180"/>
      <c r="M638" s="180"/>
      <c r="N638" s="177"/>
    </row>
    <row r="639" ht="15.75" customHeight="1">
      <c r="D639" s="180"/>
      <c r="H639" s="176"/>
      <c r="I639" s="177"/>
      <c r="J639" s="180"/>
      <c r="K639" s="180"/>
      <c r="M639" s="180"/>
      <c r="N639" s="177"/>
    </row>
    <row r="640" ht="15.75" customHeight="1">
      <c r="D640" s="180"/>
      <c r="H640" s="176"/>
      <c r="I640" s="177"/>
      <c r="J640" s="180"/>
      <c r="K640" s="180"/>
      <c r="M640" s="180"/>
      <c r="N640" s="177"/>
    </row>
    <row r="641" ht="15.75" customHeight="1">
      <c r="D641" s="180"/>
      <c r="H641" s="176"/>
      <c r="I641" s="177"/>
      <c r="J641" s="180"/>
      <c r="K641" s="180"/>
      <c r="M641" s="180"/>
      <c r="N641" s="177"/>
    </row>
    <row r="642" ht="15.75" customHeight="1">
      <c r="D642" s="180"/>
      <c r="H642" s="176"/>
      <c r="I642" s="177"/>
      <c r="J642" s="180"/>
      <c r="K642" s="180"/>
      <c r="M642" s="180"/>
      <c r="N642" s="177"/>
    </row>
    <row r="643" ht="15.75" customHeight="1">
      <c r="D643" s="180"/>
      <c r="H643" s="176"/>
      <c r="I643" s="177"/>
      <c r="J643" s="180"/>
      <c r="K643" s="180"/>
      <c r="M643" s="180"/>
      <c r="N643" s="177"/>
    </row>
    <row r="644" ht="15.75" customHeight="1">
      <c r="D644" s="180"/>
      <c r="H644" s="176"/>
      <c r="I644" s="177"/>
      <c r="J644" s="180"/>
      <c r="K644" s="180"/>
      <c r="M644" s="180"/>
      <c r="N644" s="177"/>
    </row>
    <row r="645" ht="15.75" customHeight="1">
      <c r="D645" s="180"/>
      <c r="H645" s="176"/>
      <c r="I645" s="177"/>
      <c r="J645" s="180"/>
      <c r="K645" s="180"/>
      <c r="M645" s="180"/>
      <c r="N645" s="177"/>
    </row>
    <row r="646" ht="15.75" customHeight="1">
      <c r="D646" s="180"/>
      <c r="H646" s="176"/>
      <c r="I646" s="177"/>
      <c r="J646" s="180"/>
      <c r="K646" s="180"/>
      <c r="M646" s="180"/>
      <c r="N646" s="177"/>
    </row>
    <row r="647" ht="15.75" customHeight="1">
      <c r="D647" s="180"/>
      <c r="H647" s="176"/>
      <c r="I647" s="177"/>
      <c r="J647" s="180"/>
      <c r="K647" s="180"/>
      <c r="M647" s="180"/>
      <c r="N647" s="177"/>
    </row>
    <row r="648" ht="15.75" customHeight="1">
      <c r="D648" s="180"/>
      <c r="H648" s="176"/>
      <c r="I648" s="177"/>
      <c r="J648" s="180"/>
      <c r="K648" s="180"/>
      <c r="M648" s="180"/>
      <c r="N648" s="177"/>
    </row>
    <row r="649" ht="15.75" customHeight="1">
      <c r="D649" s="180"/>
      <c r="H649" s="176"/>
      <c r="I649" s="177"/>
      <c r="J649" s="180"/>
      <c r="K649" s="180"/>
      <c r="M649" s="180"/>
      <c r="N649" s="177"/>
    </row>
    <row r="650" ht="15.75" customHeight="1">
      <c r="D650" s="180"/>
      <c r="H650" s="176"/>
      <c r="I650" s="177"/>
      <c r="J650" s="180"/>
      <c r="K650" s="180"/>
      <c r="M650" s="180"/>
      <c r="N650" s="177"/>
    </row>
    <row r="651" ht="15.75" customHeight="1">
      <c r="D651" s="180"/>
      <c r="H651" s="176"/>
      <c r="I651" s="177"/>
      <c r="J651" s="180"/>
      <c r="K651" s="180"/>
      <c r="M651" s="180"/>
      <c r="N651" s="177"/>
    </row>
    <row r="652" ht="15.75" customHeight="1">
      <c r="D652" s="180"/>
      <c r="H652" s="176"/>
      <c r="I652" s="177"/>
      <c r="J652" s="180"/>
      <c r="K652" s="180"/>
      <c r="M652" s="180"/>
      <c r="N652" s="177"/>
    </row>
    <row r="653" ht="15.75" customHeight="1">
      <c r="D653" s="180"/>
      <c r="H653" s="176"/>
      <c r="I653" s="177"/>
      <c r="J653" s="180"/>
      <c r="K653" s="180"/>
      <c r="M653" s="180"/>
      <c r="N653" s="177"/>
    </row>
    <row r="654" ht="15.75" customHeight="1">
      <c r="D654" s="180"/>
      <c r="H654" s="176"/>
      <c r="I654" s="177"/>
      <c r="J654" s="180"/>
      <c r="K654" s="180"/>
      <c r="M654" s="180"/>
      <c r="N654" s="177"/>
    </row>
    <row r="655" ht="15.75" customHeight="1">
      <c r="D655" s="180"/>
      <c r="H655" s="176"/>
      <c r="I655" s="177"/>
      <c r="J655" s="180"/>
      <c r="K655" s="180"/>
      <c r="M655" s="180"/>
      <c r="N655" s="177"/>
    </row>
    <row r="656" ht="15.75" customHeight="1">
      <c r="D656" s="180"/>
      <c r="H656" s="176"/>
      <c r="I656" s="177"/>
      <c r="J656" s="180"/>
      <c r="K656" s="180"/>
      <c r="M656" s="180"/>
      <c r="N656" s="177"/>
    </row>
    <row r="657" ht="15.75" customHeight="1">
      <c r="D657" s="180"/>
      <c r="H657" s="176"/>
      <c r="I657" s="177"/>
      <c r="J657" s="180"/>
      <c r="K657" s="180"/>
      <c r="M657" s="180"/>
      <c r="N657" s="177"/>
    </row>
    <row r="658" ht="15.75" customHeight="1">
      <c r="D658" s="180"/>
      <c r="H658" s="176"/>
      <c r="I658" s="177"/>
      <c r="J658" s="180"/>
      <c r="K658" s="180"/>
      <c r="M658" s="180"/>
      <c r="N658" s="177"/>
    </row>
    <row r="659" ht="15.75" customHeight="1">
      <c r="D659" s="180"/>
      <c r="H659" s="176"/>
      <c r="I659" s="177"/>
      <c r="J659" s="180"/>
      <c r="K659" s="180"/>
      <c r="M659" s="180"/>
      <c r="N659" s="177"/>
    </row>
    <row r="660" ht="15.75" customHeight="1">
      <c r="D660" s="180"/>
      <c r="H660" s="176"/>
      <c r="I660" s="177"/>
      <c r="J660" s="180"/>
      <c r="K660" s="180"/>
      <c r="M660" s="180"/>
      <c r="N660" s="177"/>
    </row>
    <row r="661" ht="15.75" customHeight="1">
      <c r="D661" s="180"/>
      <c r="H661" s="176"/>
      <c r="I661" s="177"/>
      <c r="J661" s="180"/>
      <c r="K661" s="180"/>
      <c r="M661" s="180"/>
      <c r="N661" s="177"/>
    </row>
    <row r="662" ht="15.75" customHeight="1">
      <c r="D662" s="180"/>
      <c r="H662" s="176"/>
      <c r="I662" s="177"/>
      <c r="J662" s="180"/>
      <c r="K662" s="180"/>
      <c r="M662" s="180"/>
      <c r="N662" s="177"/>
    </row>
    <row r="663" ht="15.75" customHeight="1">
      <c r="D663" s="180"/>
      <c r="H663" s="176"/>
      <c r="I663" s="177"/>
      <c r="J663" s="180"/>
      <c r="K663" s="180"/>
      <c r="M663" s="180"/>
      <c r="N663" s="177"/>
    </row>
    <row r="664" ht="15.75" customHeight="1">
      <c r="D664" s="180"/>
      <c r="H664" s="176"/>
      <c r="I664" s="177"/>
      <c r="J664" s="180"/>
      <c r="K664" s="180"/>
      <c r="M664" s="180"/>
      <c r="N664" s="177"/>
    </row>
    <row r="665" ht="15.75" customHeight="1">
      <c r="D665" s="180"/>
      <c r="H665" s="176"/>
      <c r="I665" s="177"/>
      <c r="J665" s="180"/>
      <c r="K665" s="180"/>
      <c r="M665" s="180"/>
      <c r="N665" s="177"/>
    </row>
    <row r="666" ht="15.75" customHeight="1">
      <c r="D666" s="180"/>
      <c r="H666" s="176"/>
      <c r="I666" s="177"/>
      <c r="J666" s="180"/>
      <c r="K666" s="180"/>
      <c r="M666" s="180"/>
      <c r="N666" s="177"/>
    </row>
    <row r="667" ht="15.75" customHeight="1">
      <c r="D667" s="180"/>
      <c r="H667" s="176"/>
      <c r="I667" s="177"/>
      <c r="J667" s="180"/>
      <c r="K667" s="180"/>
      <c r="M667" s="180"/>
      <c r="N667" s="177"/>
    </row>
    <row r="668" ht="15.75" customHeight="1">
      <c r="D668" s="180"/>
      <c r="H668" s="176"/>
      <c r="I668" s="177"/>
      <c r="J668" s="180"/>
      <c r="K668" s="180"/>
      <c r="M668" s="180"/>
      <c r="N668" s="177"/>
    </row>
    <row r="669" ht="15.75" customHeight="1">
      <c r="D669" s="180"/>
      <c r="H669" s="176"/>
      <c r="I669" s="177"/>
      <c r="J669" s="180"/>
      <c r="K669" s="180"/>
      <c r="M669" s="180"/>
      <c r="N669" s="177"/>
    </row>
    <row r="670" ht="15.75" customHeight="1">
      <c r="D670" s="180"/>
      <c r="H670" s="176"/>
      <c r="I670" s="177"/>
      <c r="J670" s="180"/>
      <c r="K670" s="180"/>
      <c r="M670" s="180"/>
      <c r="N670" s="177"/>
    </row>
    <row r="671" ht="15.75" customHeight="1">
      <c r="D671" s="180"/>
      <c r="H671" s="176"/>
      <c r="I671" s="177"/>
      <c r="J671" s="180"/>
      <c r="K671" s="180"/>
      <c r="M671" s="180"/>
      <c r="N671" s="177"/>
    </row>
    <row r="672" ht="15.75" customHeight="1">
      <c r="D672" s="180"/>
      <c r="H672" s="176"/>
      <c r="I672" s="177"/>
      <c r="J672" s="180"/>
      <c r="K672" s="180"/>
      <c r="M672" s="180"/>
      <c r="N672" s="177"/>
    </row>
    <row r="673" ht="15.75" customHeight="1">
      <c r="D673" s="180"/>
      <c r="H673" s="176"/>
      <c r="I673" s="177"/>
      <c r="J673" s="180"/>
      <c r="K673" s="180"/>
      <c r="M673" s="180"/>
      <c r="N673" s="177"/>
    </row>
    <row r="674" ht="15.75" customHeight="1">
      <c r="D674" s="180"/>
      <c r="H674" s="176"/>
      <c r="I674" s="177"/>
      <c r="J674" s="180"/>
      <c r="K674" s="180"/>
      <c r="M674" s="180"/>
      <c r="N674" s="177"/>
    </row>
    <row r="675" ht="15.75" customHeight="1">
      <c r="D675" s="180"/>
      <c r="H675" s="176"/>
      <c r="I675" s="177"/>
      <c r="J675" s="180"/>
      <c r="K675" s="180"/>
      <c r="M675" s="180"/>
      <c r="N675" s="177"/>
    </row>
    <row r="676" ht="15.75" customHeight="1">
      <c r="D676" s="180"/>
      <c r="H676" s="176"/>
      <c r="I676" s="177"/>
      <c r="J676" s="180"/>
      <c r="K676" s="180"/>
      <c r="M676" s="180"/>
      <c r="N676" s="177"/>
    </row>
    <row r="677" ht="15.75" customHeight="1">
      <c r="D677" s="180"/>
      <c r="H677" s="176"/>
      <c r="I677" s="177"/>
      <c r="J677" s="180"/>
      <c r="K677" s="180"/>
      <c r="M677" s="180"/>
      <c r="N677" s="177"/>
    </row>
    <row r="678" ht="15.75" customHeight="1">
      <c r="D678" s="180"/>
      <c r="H678" s="176"/>
      <c r="I678" s="177"/>
      <c r="J678" s="180"/>
      <c r="K678" s="180"/>
      <c r="M678" s="180"/>
      <c r="N678" s="177"/>
    </row>
    <row r="679" ht="15.75" customHeight="1">
      <c r="D679" s="180"/>
      <c r="H679" s="176"/>
      <c r="I679" s="177"/>
      <c r="J679" s="180"/>
      <c r="K679" s="180"/>
      <c r="M679" s="180"/>
      <c r="N679" s="177"/>
    </row>
    <row r="680" ht="15.75" customHeight="1">
      <c r="D680" s="180"/>
      <c r="H680" s="176"/>
      <c r="I680" s="177"/>
      <c r="J680" s="180"/>
      <c r="K680" s="180"/>
      <c r="M680" s="180"/>
      <c r="N680" s="177"/>
    </row>
    <row r="681" ht="15.75" customHeight="1">
      <c r="D681" s="180"/>
      <c r="H681" s="176"/>
      <c r="I681" s="177"/>
      <c r="J681" s="180"/>
      <c r="K681" s="180"/>
      <c r="M681" s="180"/>
      <c r="N681" s="177"/>
    </row>
    <row r="682" ht="15.75" customHeight="1">
      <c r="D682" s="180"/>
      <c r="H682" s="176"/>
      <c r="I682" s="177"/>
      <c r="J682" s="180"/>
      <c r="K682" s="180"/>
      <c r="M682" s="180"/>
      <c r="N682" s="177"/>
    </row>
    <row r="683" ht="15.75" customHeight="1">
      <c r="D683" s="180"/>
      <c r="H683" s="176"/>
      <c r="I683" s="177"/>
      <c r="J683" s="180"/>
      <c r="K683" s="180"/>
      <c r="M683" s="180"/>
      <c r="N683" s="177"/>
    </row>
    <row r="684" ht="15.75" customHeight="1">
      <c r="D684" s="180"/>
      <c r="H684" s="176"/>
      <c r="I684" s="177"/>
      <c r="J684" s="180"/>
      <c r="K684" s="180"/>
      <c r="M684" s="180"/>
      <c r="N684" s="177"/>
    </row>
    <row r="685" ht="15.75" customHeight="1">
      <c r="D685" s="180"/>
      <c r="H685" s="176"/>
      <c r="I685" s="177"/>
      <c r="J685" s="180"/>
      <c r="K685" s="180"/>
      <c r="M685" s="180"/>
      <c r="N685" s="177"/>
    </row>
    <row r="686" ht="15.75" customHeight="1">
      <c r="D686" s="180"/>
      <c r="H686" s="176"/>
      <c r="I686" s="177"/>
      <c r="J686" s="180"/>
      <c r="K686" s="180"/>
      <c r="M686" s="180"/>
      <c r="N686" s="177"/>
    </row>
    <row r="687" ht="15.75" customHeight="1">
      <c r="D687" s="180"/>
      <c r="H687" s="176"/>
      <c r="I687" s="177"/>
      <c r="J687" s="180"/>
      <c r="K687" s="180"/>
      <c r="M687" s="180"/>
      <c r="N687" s="177"/>
    </row>
    <row r="688" ht="15.75" customHeight="1">
      <c r="D688" s="180"/>
      <c r="H688" s="176"/>
      <c r="I688" s="177"/>
      <c r="J688" s="180"/>
      <c r="K688" s="180"/>
      <c r="M688" s="180"/>
      <c r="N688" s="177"/>
    </row>
    <row r="689" ht="15.75" customHeight="1">
      <c r="D689" s="180"/>
      <c r="H689" s="176"/>
      <c r="I689" s="177"/>
      <c r="J689" s="180"/>
      <c r="K689" s="180"/>
      <c r="M689" s="180"/>
      <c r="N689" s="177"/>
    </row>
    <row r="690" ht="15.75" customHeight="1">
      <c r="D690" s="180"/>
      <c r="H690" s="176"/>
      <c r="I690" s="177"/>
      <c r="J690" s="180"/>
      <c r="K690" s="180"/>
      <c r="M690" s="180"/>
      <c r="N690" s="177"/>
    </row>
    <row r="691" ht="15.75" customHeight="1">
      <c r="D691" s="180"/>
      <c r="H691" s="176"/>
      <c r="I691" s="177"/>
      <c r="J691" s="180"/>
      <c r="K691" s="180"/>
      <c r="M691" s="180"/>
      <c r="N691" s="177"/>
    </row>
    <row r="692" ht="15.75" customHeight="1">
      <c r="D692" s="180"/>
      <c r="H692" s="176"/>
      <c r="I692" s="177"/>
      <c r="J692" s="180"/>
      <c r="K692" s="180"/>
      <c r="M692" s="180"/>
      <c r="N692" s="177"/>
    </row>
    <row r="693" ht="15.75" customHeight="1">
      <c r="D693" s="180"/>
      <c r="H693" s="176"/>
      <c r="I693" s="177"/>
      <c r="J693" s="180"/>
      <c r="K693" s="180"/>
      <c r="M693" s="180"/>
      <c r="N693" s="177"/>
    </row>
    <row r="694" ht="15.75" customHeight="1">
      <c r="D694" s="180"/>
      <c r="H694" s="176"/>
      <c r="I694" s="177"/>
      <c r="J694" s="180"/>
      <c r="K694" s="180"/>
      <c r="M694" s="180"/>
      <c r="N694" s="177"/>
    </row>
    <row r="695" ht="15.75" customHeight="1">
      <c r="D695" s="180"/>
      <c r="H695" s="176"/>
      <c r="I695" s="177"/>
      <c r="J695" s="180"/>
      <c r="K695" s="180"/>
      <c r="M695" s="180"/>
      <c r="N695" s="177"/>
    </row>
    <row r="696" ht="15.75" customHeight="1">
      <c r="D696" s="180"/>
      <c r="H696" s="176"/>
      <c r="I696" s="177"/>
      <c r="J696" s="180"/>
      <c r="K696" s="180"/>
      <c r="M696" s="180"/>
      <c r="N696" s="177"/>
    </row>
    <row r="697" ht="15.75" customHeight="1">
      <c r="D697" s="180"/>
      <c r="H697" s="176"/>
      <c r="I697" s="177"/>
      <c r="J697" s="180"/>
      <c r="K697" s="180"/>
      <c r="M697" s="180"/>
      <c r="N697" s="177"/>
    </row>
    <row r="698" ht="15.75" customHeight="1">
      <c r="D698" s="180"/>
      <c r="H698" s="176"/>
      <c r="I698" s="177"/>
      <c r="J698" s="180"/>
      <c r="K698" s="180"/>
      <c r="M698" s="180"/>
      <c r="N698" s="177"/>
    </row>
    <row r="699" ht="15.75" customHeight="1">
      <c r="D699" s="180"/>
      <c r="H699" s="176"/>
      <c r="I699" s="177"/>
      <c r="J699" s="180"/>
      <c r="K699" s="180"/>
      <c r="M699" s="180"/>
      <c r="N699" s="177"/>
    </row>
    <row r="700" ht="15.75" customHeight="1">
      <c r="D700" s="180"/>
      <c r="H700" s="176"/>
      <c r="I700" s="177"/>
      <c r="J700" s="180"/>
      <c r="K700" s="180"/>
      <c r="M700" s="180"/>
      <c r="N700" s="177"/>
    </row>
    <row r="701" ht="15.75" customHeight="1">
      <c r="D701" s="180"/>
      <c r="H701" s="176"/>
      <c r="I701" s="177"/>
      <c r="J701" s="180"/>
      <c r="K701" s="180"/>
      <c r="M701" s="180"/>
      <c r="N701" s="177"/>
    </row>
    <row r="702" ht="15.75" customHeight="1">
      <c r="D702" s="180"/>
      <c r="H702" s="176"/>
      <c r="I702" s="177"/>
      <c r="J702" s="180"/>
      <c r="K702" s="180"/>
      <c r="M702" s="180"/>
      <c r="N702" s="177"/>
    </row>
    <row r="703" ht="15.75" customHeight="1">
      <c r="D703" s="180"/>
      <c r="H703" s="176"/>
      <c r="I703" s="177"/>
      <c r="J703" s="180"/>
      <c r="K703" s="180"/>
      <c r="M703" s="180"/>
      <c r="N703" s="177"/>
    </row>
    <row r="704" ht="15.75" customHeight="1">
      <c r="D704" s="180"/>
      <c r="H704" s="176"/>
      <c r="I704" s="177"/>
      <c r="J704" s="180"/>
      <c r="K704" s="180"/>
      <c r="M704" s="180"/>
      <c r="N704" s="177"/>
    </row>
    <row r="705" ht="15.75" customHeight="1">
      <c r="D705" s="180"/>
      <c r="H705" s="176"/>
      <c r="I705" s="177"/>
      <c r="J705" s="180"/>
      <c r="K705" s="180"/>
      <c r="M705" s="180"/>
      <c r="N705" s="177"/>
    </row>
    <row r="706" ht="15.75" customHeight="1">
      <c r="D706" s="180"/>
      <c r="H706" s="176"/>
      <c r="I706" s="177"/>
      <c r="J706" s="180"/>
      <c r="K706" s="180"/>
      <c r="M706" s="180"/>
      <c r="N706" s="177"/>
    </row>
    <row r="707" ht="15.75" customHeight="1">
      <c r="D707" s="180"/>
      <c r="H707" s="176"/>
      <c r="I707" s="177"/>
      <c r="J707" s="180"/>
      <c r="K707" s="180"/>
      <c r="M707" s="180"/>
      <c r="N707" s="177"/>
    </row>
    <row r="708" ht="15.75" customHeight="1">
      <c r="D708" s="180"/>
      <c r="H708" s="176"/>
      <c r="I708" s="177"/>
      <c r="J708" s="180"/>
      <c r="K708" s="180"/>
      <c r="M708" s="180"/>
      <c r="N708" s="177"/>
    </row>
    <row r="709" ht="15.75" customHeight="1">
      <c r="D709" s="180"/>
      <c r="H709" s="176"/>
      <c r="I709" s="177"/>
      <c r="J709" s="180"/>
      <c r="K709" s="180"/>
      <c r="M709" s="180"/>
      <c r="N709" s="177"/>
    </row>
    <row r="710" ht="15.75" customHeight="1">
      <c r="D710" s="180"/>
      <c r="H710" s="176"/>
      <c r="I710" s="177"/>
      <c r="J710" s="180"/>
      <c r="K710" s="180"/>
      <c r="M710" s="180"/>
      <c r="N710" s="177"/>
    </row>
    <row r="711" ht="15.75" customHeight="1">
      <c r="D711" s="180"/>
      <c r="H711" s="176"/>
      <c r="I711" s="177"/>
      <c r="J711" s="180"/>
      <c r="K711" s="180"/>
      <c r="M711" s="180"/>
      <c r="N711" s="177"/>
    </row>
    <row r="712" ht="15.75" customHeight="1">
      <c r="D712" s="180"/>
      <c r="H712" s="176"/>
      <c r="I712" s="177"/>
      <c r="J712" s="180"/>
      <c r="K712" s="180"/>
      <c r="M712" s="180"/>
      <c r="N712" s="177"/>
    </row>
    <row r="713" ht="15.75" customHeight="1">
      <c r="D713" s="180"/>
      <c r="H713" s="176"/>
      <c r="I713" s="177"/>
      <c r="J713" s="180"/>
      <c r="K713" s="180"/>
      <c r="M713" s="180"/>
      <c r="N713" s="177"/>
    </row>
    <row r="714" ht="15.75" customHeight="1">
      <c r="D714" s="180"/>
      <c r="H714" s="176"/>
      <c r="I714" s="177"/>
      <c r="J714" s="180"/>
      <c r="K714" s="180"/>
      <c r="M714" s="180"/>
      <c r="N714" s="177"/>
    </row>
    <row r="715" ht="15.75" customHeight="1">
      <c r="D715" s="180"/>
      <c r="H715" s="176"/>
      <c r="I715" s="177"/>
      <c r="J715" s="180"/>
      <c r="K715" s="180"/>
      <c r="M715" s="180"/>
      <c r="N715" s="177"/>
    </row>
    <row r="716" ht="15.75" customHeight="1">
      <c r="D716" s="180"/>
      <c r="H716" s="176"/>
      <c r="I716" s="177"/>
      <c r="J716" s="180"/>
      <c r="K716" s="180"/>
      <c r="M716" s="180"/>
      <c r="N716" s="177"/>
    </row>
    <row r="717" ht="15.75" customHeight="1">
      <c r="D717" s="180"/>
      <c r="H717" s="176"/>
      <c r="I717" s="177"/>
      <c r="J717" s="180"/>
      <c r="K717" s="180"/>
      <c r="M717" s="180"/>
      <c r="N717" s="177"/>
    </row>
    <row r="718" ht="15.75" customHeight="1">
      <c r="D718" s="180"/>
      <c r="H718" s="176"/>
      <c r="I718" s="177"/>
      <c r="J718" s="180"/>
      <c r="K718" s="180"/>
      <c r="M718" s="180"/>
      <c r="N718" s="177"/>
    </row>
    <row r="719" ht="15.75" customHeight="1">
      <c r="D719" s="180"/>
      <c r="H719" s="176"/>
      <c r="I719" s="177"/>
      <c r="J719" s="180"/>
      <c r="K719" s="180"/>
      <c r="M719" s="180"/>
      <c r="N719" s="177"/>
    </row>
    <row r="720" ht="15.75" customHeight="1">
      <c r="D720" s="180"/>
      <c r="H720" s="176"/>
      <c r="I720" s="177"/>
      <c r="J720" s="180"/>
      <c r="K720" s="180"/>
      <c r="M720" s="180"/>
      <c r="N720" s="177"/>
    </row>
    <row r="721" ht="15.75" customHeight="1">
      <c r="D721" s="180"/>
      <c r="H721" s="176"/>
      <c r="I721" s="177"/>
      <c r="J721" s="180"/>
      <c r="K721" s="180"/>
      <c r="M721" s="180"/>
      <c r="N721" s="177"/>
    </row>
    <row r="722" ht="15.75" customHeight="1">
      <c r="D722" s="180"/>
      <c r="H722" s="176"/>
      <c r="I722" s="177"/>
      <c r="J722" s="180"/>
      <c r="K722" s="180"/>
      <c r="M722" s="180"/>
      <c r="N722" s="177"/>
    </row>
    <row r="723" ht="15.75" customHeight="1">
      <c r="D723" s="180"/>
      <c r="H723" s="176"/>
      <c r="I723" s="177"/>
      <c r="J723" s="180"/>
      <c r="K723" s="180"/>
      <c r="M723" s="180"/>
      <c r="N723" s="177"/>
    </row>
    <row r="724" ht="15.75" customHeight="1">
      <c r="D724" s="180"/>
      <c r="H724" s="176"/>
      <c r="I724" s="177"/>
      <c r="J724" s="180"/>
      <c r="K724" s="180"/>
      <c r="M724" s="180"/>
      <c r="N724" s="177"/>
    </row>
    <row r="725" ht="15.75" customHeight="1">
      <c r="D725" s="180"/>
      <c r="H725" s="176"/>
      <c r="I725" s="177"/>
      <c r="J725" s="180"/>
      <c r="K725" s="180"/>
      <c r="M725" s="180"/>
      <c r="N725" s="177"/>
    </row>
    <row r="726" ht="15.75" customHeight="1">
      <c r="D726" s="180"/>
      <c r="H726" s="176"/>
      <c r="I726" s="177"/>
      <c r="J726" s="180"/>
      <c r="K726" s="180"/>
      <c r="M726" s="180"/>
      <c r="N726" s="177"/>
    </row>
    <row r="727" ht="15.75" customHeight="1">
      <c r="D727" s="180"/>
      <c r="H727" s="176"/>
      <c r="I727" s="177"/>
      <c r="J727" s="180"/>
      <c r="K727" s="180"/>
      <c r="M727" s="180"/>
      <c r="N727" s="177"/>
    </row>
    <row r="728" ht="15.75" customHeight="1">
      <c r="D728" s="180"/>
      <c r="H728" s="176"/>
      <c r="I728" s="177"/>
      <c r="J728" s="180"/>
      <c r="K728" s="180"/>
      <c r="M728" s="180"/>
      <c r="N728" s="177"/>
    </row>
    <row r="729" ht="15.75" customHeight="1">
      <c r="D729" s="180"/>
      <c r="H729" s="176"/>
      <c r="I729" s="177"/>
      <c r="J729" s="180"/>
      <c r="K729" s="180"/>
      <c r="M729" s="180"/>
      <c r="N729" s="177"/>
    </row>
    <row r="730" ht="15.75" customHeight="1">
      <c r="D730" s="180"/>
      <c r="H730" s="176"/>
      <c r="I730" s="177"/>
      <c r="J730" s="180"/>
      <c r="K730" s="180"/>
      <c r="M730" s="180"/>
      <c r="N730" s="177"/>
    </row>
    <row r="731" ht="15.75" customHeight="1">
      <c r="D731" s="180"/>
      <c r="H731" s="176"/>
      <c r="I731" s="177"/>
      <c r="J731" s="180"/>
      <c r="K731" s="180"/>
      <c r="M731" s="180"/>
      <c r="N731" s="177"/>
    </row>
    <row r="732" ht="15.75" customHeight="1">
      <c r="D732" s="180"/>
      <c r="H732" s="176"/>
      <c r="I732" s="177"/>
      <c r="J732" s="180"/>
      <c r="K732" s="180"/>
      <c r="M732" s="180"/>
      <c r="N732" s="177"/>
    </row>
    <row r="733" ht="15.75" customHeight="1">
      <c r="D733" s="180"/>
      <c r="H733" s="176"/>
      <c r="I733" s="177"/>
      <c r="J733" s="180"/>
      <c r="K733" s="180"/>
      <c r="M733" s="180"/>
      <c r="N733" s="177"/>
    </row>
    <row r="734" ht="15.75" customHeight="1">
      <c r="D734" s="180"/>
      <c r="H734" s="176"/>
      <c r="I734" s="177"/>
      <c r="J734" s="180"/>
      <c r="K734" s="180"/>
      <c r="M734" s="180"/>
      <c r="N734" s="177"/>
    </row>
    <row r="735" ht="15.75" customHeight="1">
      <c r="D735" s="180"/>
      <c r="H735" s="176"/>
      <c r="I735" s="177"/>
      <c r="J735" s="180"/>
      <c r="K735" s="180"/>
      <c r="M735" s="180"/>
      <c r="N735" s="177"/>
    </row>
    <row r="736" ht="15.75" customHeight="1">
      <c r="D736" s="180"/>
      <c r="H736" s="176"/>
      <c r="I736" s="177"/>
      <c r="J736" s="180"/>
      <c r="K736" s="180"/>
      <c r="M736" s="180"/>
      <c r="N736" s="177"/>
    </row>
    <row r="737" ht="15.75" customHeight="1">
      <c r="D737" s="180"/>
      <c r="H737" s="176"/>
      <c r="I737" s="177"/>
      <c r="J737" s="180"/>
      <c r="K737" s="180"/>
      <c r="M737" s="180"/>
      <c r="N737" s="177"/>
    </row>
    <row r="738" ht="15.75" customHeight="1">
      <c r="D738" s="180"/>
      <c r="H738" s="176"/>
      <c r="I738" s="177"/>
      <c r="J738" s="180"/>
      <c r="K738" s="180"/>
      <c r="M738" s="180"/>
      <c r="N738" s="177"/>
    </row>
    <row r="739" ht="15.75" customHeight="1">
      <c r="D739" s="180"/>
      <c r="H739" s="176"/>
      <c r="I739" s="177"/>
      <c r="J739" s="180"/>
      <c r="K739" s="180"/>
      <c r="M739" s="180"/>
      <c r="N739" s="177"/>
    </row>
    <row r="740" ht="15.75" customHeight="1">
      <c r="D740" s="180"/>
      <c r="H740" s="176"/>
      <c r="I740" s="177"/>
      <c r="J740" s="180"/>
      <c r="K740" s="180"/>
      <c r="M740" s="180"/>
      <c r="N740" s="177"/>
    </row>
    <row r="741" ht="15.75" customHeight="1">
      <c r="D741" s="180"/>
      <c r="H741" s="176"/>
      <c r="I741" s="177"/>
      <c r="J741" s="180"/>
      <c r="K741" s="180"/>
      <c r="M741" s="180"/>
      <c r="N741" s="177"/>
    </row>
    <row r="742" ht="15.75" customHeight="1">
      <c r="D742" s="180"/>
      <c r="H742" s="176"/>
      <c r="I742" s="177"/>
      <c r="J742" s="180"/>
      <c r="K742" s="180"/>
      <c r="M742" s="180"/>
      <c r="N742" s="177"/>
    </row>
    <row r="743" ht="15.75" customHeight="1">
      <c r="D743" s="180"/>
      <c r="H743" s="176"/>
      <c r="I743" s="177"/>
      <c r="J743" s="180"/>
      <c r="K743" s="180"/>
      <c r="M743" s="180"/>
      <c r="N743" s="177"/>
    </row>
    <row r="744" ht="15.75" customHeight="1">
      <c r="D744" s="180"/>
      <c r="H744" s="176"/>
      <c r="I744" s="177"/>
      <c r="J744" s="180"/>
      <c r="K744" s="180"/>
      <c r="M744" s="180"/>
      <c r="N744" s="177"/>
    </row>
    <row r="745" ht="15.75" customHeight="1">
      <c r="D745" s="180"/>
      <c r="H745" s="176"/>
      <c r="I745" s="177"/>
      <c r="J745" s="180"/>
      <c r="K745" s="180"/>
      <c r="M745" s="180"/>
      <c r="N745" s="177"/>
    </row>
    <row r="746" ht="15.75" customHeight="1">
      <c r="D746" s="180"/>
      <c r="H746" s="176"/>
      <c r="I746" s="177"/>
      <c r="J746" s="180"/>
      <c r="K746" s="180"/>
      <c r="M746" s="180"/>
      <c r="N746" s="177"/>
    </row>
    <row r="747" ht="15.75" customHeight="1">
      <c r="D747" s="180"/>
      <c r="H747" s="176"/>
      <c r="I747" s="177"/>
      <c r="J747" s="180"/>
      <c r="K747" s="180"/>
      <c r="M747" s="180"/>
      <c r="N747" s="177"/>
    </row>
    <row r="748" ht="15.75" customHeight="1">
      <c r="D748" s="180"/>
      <c r="H748" s="176"/>
      <c r="I748" s="177"/>
      <c r="J748" s="180"/>
      <c r="K748" s="180"/>
      <c r="M748" s="180"/>
      <c r="N748" s="177"/>
    </row>
    <row r="749" ht="15.75" customHeight="1">
      <c r="D749" s="180"/>
      <c r="H749" s="176"/>
      <c r="I749" s="177"/>
      <c r="J749" s="180"/>
      <c r="K749" s="180"/>
      <c r="M749" s="180"/>
      <c r="N749" s="177"/>
    </row>
    <row r="750" ht="15.75" customHeight="1">
      <c r="D750" s="180"/>
      <c r="H750" s="176"/>
      <c r="I750" s="177"/>
      <c r="J750" s="180"/>
      <c r="K750" s="180"/>
      <c r="M750" s="180"/>
      <c r="N750" s="177"/>
    </row>
    <row r="751" ht="15.75" customHeight="1">
      <c r="D751" s="180"/>
      <c r="H751" s="176"/>
      <c r="I751" s="177"/>
      <c r="J751" s="180"/>
      <c r="K751" s="180"/>
      <c r="M751" s="180"/>
      <c r="N751" s="177"/>
    </row>
    <row r="752" ht="15.75" customHeight="1">
      <c r="D752" s="180"/>
      <c r="H752" s="176"/>
      <c r="I752" s="177"/>
      <c r="J752" s="180"/>
      <c r="K752" s="180"/>
      <c r="M752" s="180"/>
      <c r="N752" s="177"/>
    </row>
    <row r="753" ht="15.75" customHeight="1">
      <c r="D753" s="180"/>
      <c r="H753" s="176"/>
      <c r="I753" s="177"/>
      <c r="J753" s="180"/>
      <c r="K753" s="180"/>
      <c r="M753" s="180"/>
      <c r="N753" s="177"/>
    </row>
    <row r="754" ht="15.75" customHeight="1">
      <c r="D754" s="180"/>
      <c r="H754" s="176"/>
      <c r="I754" s="177"/>
      <c r="J754" s="180"/>
      <c r="K754" s="180"/>
      <c r="M754" s="180"/>
      <c r="N754" s="177"/>
    </row>
    <row r="755" ht="15.75" customHeight="1">
      <c r="D755" s="180"/>
      <c r="H755" s="176"/>
      <c r="I755" s="177"/>
      <c r="J755" s="180"/>
      <c r="K755" s="180"/>
      <c r="M755" s="180"/>
      <c r="N755" s="177"/>
    </row>
    <row r="756" ht="15.75" customHeight="1">
      <c r="D756" s="180"/>
      <c r="H756" s="176"/>
      <c r="I756" s="177"/>
      <c r="J756" s="180"/>
      <c r="K756" s="180"/>
      <c r="M756" s="180"/>
      <c r="N756" s="177"/>
    </row>
    <row r="757" ht="15.75" customHeight="1">
      <c r="D757" s="180"/>
      <c r="H757" s="176"/>
      <c r="I757" s="177"/>
      <c r="J757" s="180"/>
      <c r="K757" s="180"/>
      <c r="M757" s="180"/>
      <c r="N757" s="177"/>
    </row>
    <row r="758" ht="15.75" customHeight="1">
      <c r="D758" s="180"/>
      <c r="H758" s="176"/>
      <c r="I758" s="177"/>
      <c r="J758" s="180"/>
      <c r="K758" s="180"/>
      <c r="M758" s="180"/>
      <c r="N758" s="177"/>
    </row>
    <row r="759" ht="15.75" customHeight="1">
      <c r="D759" s="180"/>
      <c r="H759" s="176"/>
      <c r="I759" s="177"/>
      <c r="J759" s="180"/>
      <c r="K759" s="180"/>
      <c r="M759" s="180"/>
      <c r="N759" s="177"/>
    </row>
    <row r="760" ht="15.75" customHeight="1">
      <c r="D760" s="180"/>
      <c r="H760" s="176"/>
      <c r="I760" s="177"/>
      <c r="J760" s="180"/>
      <c r="K760" s="180"/>
      <c r="M760" s="180"/>
      <c r="N760" s="177"/>
    </row>
    <row r="761" ht="15.75" customHeight="1">
      <c r="D761" s="180"/>
      <c r="H761" s="176"/>
      <c r="I761" s="177"/>
      <c r="J761" s="180"/>
      <c r="K761" s="180"/>
      <c r="M761" s="180"/>
      <c r="N761" s="177"/>
    </row>
    <row r="762" ht="15.75" customHeight="1">
      <c r="D762" s="180"/>
      <c r="H762" s="176"/>
      <c r="I762" s="177"/>
      <c r="J762" s="180"/>
      <c r="K762" s="180"/>
      <c r="M762" s="180"/>
      <c r="N762" s="177"/>
    </row>
    <row r="763" ht="15.75" customHeight="1">
      <c r="D763" s="180"/>
      <c r="H763" s="176"/>
      <c r="I763" s="177"/>
      <c r="J763" s="180"/>
      <c r="K763" s="180"/>
      <c r="M763" s="180"/>
      <c r="N763" s="177"/>
    </row>
    <row r="764" ht="15.75" customHeight="1">
      <c r="D764" s="180"/>
      <c r="H764" s="176"/>
      <c r="I764" s="177"/>
      <c r="J764" s="180"/>
      <c r="K764" s="180"/>
      <c r="M764" s="180"/>
      <c r="N764" s="177"/>
    </row>
    <row r="765" ht="15.75" customHeight="1">
      <c r="D765" s="180"/>
      <c r="H765" s="176"/>
      <c r="I765" s="177"/>
      <c r="J765" s="180"/>
      <c r="K765" s="180"/>
      <c r="M765" s="180"/>
      <c r="N765" s="177"/>
    </row>
    <row r="766" ht="15.75" customHeight="1">
      <c r="D766" s="180"/>
      <c r="H766" s="176"/>
      <c r="I766" s="177"/>
      <c r="J766" s="180"/>
      <c r="K766" s="180"/>
      <c r="M766" s="180"/>
      <c r="N766" s="177"/>
    </row>
    <row r="767" ht="15.75" customHeight="1">
      <c r="D767" s="180"/>
      <c r="H767" s="176"/>
      <c r="I767" s="177"/>
      <c r="J767" s="180"/>
      <c r="K767" s="180"/>
      <c r="M767" s="180"/>
      <c r="N767" s="177"/>
    </row>
    <row r="768" ht="15.75" customHeight="1">
      <c r="D768" s="180"/>
      <c r="H768" s="176"/>
      <c r="I768" s="177"/>
      <c r="J768" s="180"/>
      <c r="K768" s="180"/>
      <c r="M768" s="180"/>
      <c r="N768" s="177"/>
    </row>
    <row r="769" ht="15.75" customHeight="1">
      <c r="D769" s="180"/>
      <c r="H769" s="176"/>
      <c r="I769" s="177"/>
      <c r="J769" s="180"/>
      <c r="K769" s="180"/>
      <c r="M769" s="180"/>
      <c r="N769" s="177"/>
    </row>
    <row r="770" ht="15.75" customHeight="1">
      <c r="D770" s="180"/>
      <c r="H770" s="176"/>
      <c r="I770" s="177"/>
      <c r="J770" s="180"/>
      <c r="K770" s="180"/>
      <c r="M770" s="180"/>
      <c r="N770" s="177"/>
    </row>
    <row r="771" ht="15.75" customHeight="1">
      <c r="D771" s="180"/>
      <c r="H771" s="176"/>
      <c r="I771" s="177"/>
      <c r="J771" s="180"/>
      <c r="K771" s="180"/>
      <c r="M771" s="180"/>
      <c r="N771" s="177"/>
    </row>
    <row r="772" ht="15.75" customHeight="1">
      <c r="D772" s="180"/>
      <c r="H772" s="176"/>
      <c r="I772" s="177"/>
      <c r="J772" s="180"/>
      <c r="K772" s="180"/>
      <c r="M772" s="180"/>
      <c r="N772" s="177"/>
    </row>
    <row r="773" ht="15.75" customHeight="1">
      <c r="D773" s="180"/>
      <c r="H773" s="176"/>
      <c r="I773" s="177"/>
      <c r="J773" s="180"/>
      <c r="K773" s="180"/>
      <c r="M773" s="180"/>
      <c r="N773" s="177"/>
    </row>
    <row r="774" ht="15.75" customHeight="1">
      <c r="D774" s="180"/>
      <c r="H774" s="176"/>
      <c r="I774" s="177"/>
      <c r="J774" s="180"/>
      <c r="K774" s="180"/>
      <c r="M774" s="180"/>
      <c r="N774" s="177"/>
    </row>
    <row r="775" ht="15.75" customHeight="1">
      <c r="D775" s="180"/>
      <c r="H775" s="176"/>
      <c r="I775" s="177"/>
      <c r="J775" s="180"/>
      <c r="K775" s="180"/>
      <c r="M775" s="180"/>
      <c r="N775" s="177"/>
    </row>
    <row r="776" ht="15.75" customHeight="1">
      <c r="D776" s="180"/>
      <c r="H776" s="176"/>
      <c r="I776" s="177"/>
      <c r="J776" s="180"/>
      <c r="K776" s="180"/>
      <c r="M776" s="180"/>
      <c r="N776" s="177"/>
    </row>
    <row r="777" ht="15.75" customHeight="1">
      <c r="D777" s="180"/>
      <c r="H777" s="176"/>
      <c r="I777" s="177"/>
      <c r="J777" s="180"/>
      <c r="K777" s="180"/>
      <c r="M777" s="180"/>
      <c r="N777" s="177"/>
    </row>
    <row r="778" ht="15.75" customHeight="1">
      <c r="D778" s="180"/>
      <c r="H778" s="176"/>
      <c r="I778" s="177"/>
      <c r="J778" s="180"/>
      <c r="K778" s="180"/>
      <c r="M778" s="180"/>
      <c r="N778" s="177"/>
    </row>
    <row r="779" ht="15.75" customHeight="1">
      <c r="D779" s="180"/>
      <c r="H779" s="176"/>
      <c r="I779" s="177"/>
      <c r="J779" s="180"/>
      <c r="K779" s="180"/>
      <c r="M779" s="180"/>
      <c r="N779" s="177"/>
    </row>
    <row r="780" ht="15.75" customHeight="1">
      <c r="D780" s="180"/>
      <c r="H780" s="176"/>
      <c r="I780" s="177"/>
      <c r="J780" s="180"/>
      <c r="K780" s="180"/>
      <c r="M780" s="180"/>
      <c r="N780" s="177"/>
    </row>
    <row r="781" ht="15.75" customHeight="1">
      <c r="D781" s="180"/>
      <c r="H781" s="176"/>
      <c r="I781" s="177"/>
      <c r="J781" s="180"/>
      <c r="K781" s="180"/>
      <c r="M781" s="180"/>
      <c r="N781" s="177"/>
    </row>
    <row r="782" ht="15.75" customHeight="1">
      <c r="D782" s="180"/>
      <c r="H782" s="176"/>
      <c r="I782" s="177"/>
      <c r="J782" s="180"/>
      <c r="K782" s="180"/>
      <c r="M782" s="180"/>
      <c r="N782" s="177"/>
    </row>
    <row r="783" ht="15.75" customHeight="1">
      <c r="D783" s="180"/>
      <c r="H783" s="176"/>
      <c r="I783" s="177"/>
      <c r="J783" s="180"/>
      <c r="K783" s="180"/>
      <c r="M783" s="180"/>
      <c r="N783" s="177"/>
    </row>
    <row r="784" ht="15.75" customHeight="1">
      <c r="D784" s="180"/>
      <c r="H784" s="176"/>
      <c r="I784" s="177"/>
      <c r="J784" s="180"/>
      <c r="K784" s="180"/>
      <c r="M784" s="180"/>
      <c r="N784" s="177"/>
    </row>
    <row r="785" ht="15.75" customHeight="1">
      <c r="D785" s="180"/>
      <c r="H785" s="176"/>
      <c r="I785" s="177"/>
      <c r="J785" s="180"/>
      <c r="K785" s="180"/>
      <c r="M785" s="180"/>
      <c r="N785" s="177"/>
    </row>
    <row r="786" ht="15.75" customHeight="1">
      <c r="D786" s="180"/>
      <c r="H786" s="176"/>
      <c r="I786" s="177"/>
      <c r="J786" s="180"/>
      <c r="K786" s="180"/>
      <c r="M786" s="180"/>
      <c r="N786" s="177"/>
    </row>
    <row r="787" ht="15.75" customHeight="1">
      <c r="D787" s="180"/>
      <c r="H787" s="176"/>
      <c r="I787" s="177"/>
      <c r="J787" s="180"/>
      <c r="K787" s="180"/>
      <c r="M787" s="180"/>
      <c r="N787" s="177"/>
    </row>
    <row r="788" ht="15.75" customHeight="1">
      <c r="D788" s="180"/>
      <c r="H788" s="176"/>
      <c r="I788" s="177"/>
      <c r="J788" s="180"/>
      <c r="K788" s="180"/>
      <c r="M788" s="180"/>
      <c r="N788" s="177"/>
    </row>
    <row r="789" ht="15.75" customHeight="1">
      <c r="D789" s="180"/>
      <c r="H789" s="176"/>
      <c r="I789" s="177"/>
      <c r="J789" s="180"/>
      <c r="K789" s="180"/>
      <c r="M789" s="180"/>
      <c r="N789" s="177"/>
    </row>
    <row r="790" ht="15.75" customHeight="1">
      <c r="D790" s="180"/>
      <c r="H790" s="176"/>
      <c r="I790" s="177"/>
      <c r="J790" s="180"/>
      <c r="K790" s="180"/>
      <c r="M790" s="180"/>
      <c r="N790" s="177"/>
    </row>
    <row r="791" ht="15.75" customHeight="1">
      <c r="D791" s="180"/>
      <c r="H791" s="176"/>
      <c r="I791" s="177"/>
      <c r="J791" s="180"/>
      <c r="K791" s="180"/>
      <c r="M791" s="180"/>
      <c r="N791" s="177"/>
    </row>
    <row r="792" ht="15.75" customHeight="1">
      <c r="D792" s="180"/>
      <c r="H792" s="176"/>
      <c r="I792" s="177"/>
      <c r="J792" s="180"/>
      <c r="K792" s="180"/>
      <c r="M792" s="180"/>
      <c r="N792" s="177"/>
    </row>
    <row r="793" ht="15.75" customHeight="1">
      <c r="D793" s="180"/>
      <c r="H793" s="176"/>
      <c r="I793" s="177"/>
      <c r="J793" s="180"/>
      <c r="K793" s="180"/>
      <c r="M793" s="180"/>
      <c r="N793" s="177"/>
    </row>
    <row r="794" ht="15.75" customHeight="1">
      <c r="D794" s="180"/>
      <c r="H794" s="176"/>
      <c r="I794" s="177"/>
      <c r="J794" s="180"/>
      <c r="K794" s="180"/>
      <c r="M794" s="180"/>
      <c r="N794" s="177"/>
    </row>
    <row r="795" ht="15.75" customHeight="1">
      <c r="D795" s="180"/>
      <c r="H795" s="176"/>
      <c r="I795" s="177"/>
      <c r="J795" s="180"/>
      <c r="K795" s="180"/>
      <c r="M795" s="180"/>
      <c r="N795" s="177"/>
    </row>
    <row r="796" ht="15.75" customHeight="1">
      <c r="D796" s="180"/>
      <c r="H796" s="176"/>
      <c r="I796" s="177"/>
      <c r="J796" s="180"/>
      <c r="K796" s="180"/>
      <c r="M796" s="180"/>
      <c r="N796" s="177"/>
    </row>
    <row r="797" ht="15.75" customHeight="1">
      <c r="D797" s="180"/>
      <c r="H797" s="176"/>
      <c r="I797" s="177"/>
      <c r="J797" s="180"/>
      <c r="K797" s="180"/>
      <c r="M797" s="180"/>
      <c r="N797" s="177"/>
    </row>
    <row r="798" ht="15.75" customHeight="1">
      <c r="D798" s="180"/>
      <c r="H798" s="176"/>
      <c r="I798" s="177"/>
      <c r="J798" s="180"/>
      <c r="K798" s="180"/>
      <c r="M798" s="180"/>
      <c r="N798" s="177"/>
    </row>
    <row r="799" ht="15.75" customHeight="1">
      <c r="D799" s="180"/>
      <c r="H799" s="176"/>
      <c r="I799" s="177"/>
      <c r="J799" s="180"/>
      <c r="K799" s="180"/>
      <c r="M799" s="180"/>
      <c r="N799" s="177"/>
    </row>
    <row r="800" ht="15.75" customHeight="1">
      <c r="D800" s="180"/>
      <c r="H800" s="176"/>
      <c r="I800" s="177"/>
      <c r="J800" s="180"/>
      <c r="K800" s="180"/>
      <c r="M800" s="180"/>
      <c r="N800" s="177"/>
    </row>
    <row r="801" ht="15.75" customHeight="1">
      <c r="D801" s="180"/>
      <c r="H801" s="176"/>
      <c r="I801" s="177"/>
      <c r="J801" s="180"/>
      <c r="K801" s="180"/>
      <c r="M801" s="180"/>
      <c r="N801" s="177"/>
    </row>
    <row r="802" ht="15.75" customHeight="1">
      <c r="D802" s="180"/>
      <c r="H802" s="176"/>
      <c r="I802" s="177"/>
      <c r="J802" s="180"/>
      <c r="K802" s="180"/>
      <c r="M802" s="180"/>
      <c r="N802" s="177"/>
    </row>
    <row r="803" ht="15.75" customHeight="1">
      <c r="D803" s="180"/>
      <c r="H803" s="176"/>
      <c r="I803" s="177"/>
      <c r="J803" s="180"/>
      <c r="K803" s="180"/>
      <c r="M803" s="180"/>
      <c r="N803" s="177"/>
    </row>
    <row r="804" ht="15.75" customHeight="1">
      <c r="D804" s="180"/>
      <c r="H804" s="176"/>
      <c r="I804" s="177"/>
      <c r="J804" s="180"/>
      <c r="K804" s="180"/>
      <c r="M804" s="180"/>
      <c r="N804" s="177"/>
    </row>
    <row r="805" ht="15.75" customHeight="1">
      <c r="D805" s="180"/>
      <c r="H805" s="176"/>
      <c r="I805" s="177"/>
      <c r="J805" s="180"/>
      <c r="K805" s="180"/>
      <c r="M805" s="180"/>
      <c r="N805" s="177"/>
    </row>
    <row r="806" ht="15.75" customHeight="1">
      <c r="D806" s="180"/>
      <c r="H806" s="176"/>
      <c r="I806" s="177"/>
      <c r="J806" s="180"/>
      <c r="K806" s="180"/>
      <c r="M806" s="180"/>
      <c r="N806" s="177"/>
    </row>
    <row r="807" ht="15.75" customHeight="1">
      <c r="D807" s="180"/>
      <c r="H807" s="176"/>
      <c r="I807" s="177"/>
      <c r="J807" s="180"/>
      <c r="K807" s="180"/>
      <c r="M807" s="180"/>
      <c r="N807" s="177"/>
    </row>
    <row r="808" ht="15.75" customHeight="1">
      <c r="D808" s="180"/>
      <c r="H808" s="176"/>
      <c r="I808" s="177"/>
      <c r="J808" s="180"/>
      <c r="K808" s="180"/>
      <c r="M808" s="180"/>
      <c r="N808" s="177"/>
    </row>
    <row r="809" ht="15.75" customHeight="1">
      <c r="D809" s="180"/>
      <c r="H809" s="176"/>
      <c r="I809" s="177"/>
      <c r="J809" s="180"/>
      <c r="K809" s="180"/>
      <c r="M809" s="180"/>
      <c r="N809" s="177"/>
    </row>
    <row r="810" ht="15.75" customHeight="1">
      <c r="D810" s="180"/>
      <c r="H810" s="176"/>
      <c r="I810" s="177"/>
      <c r="J810" s="180"/>
      <c r="K810" s="180"/>
      <c r="M810" s="180"/>
      <c r="N810" s="177"/>
    </row>
    <row r="811" ht="15.75" customHeight="1">
      <c r="D811" s="180"/>
      <c r="H811" s="176"/>
      <c r="I811" s="177"/>
      <c r="J811" s="180"/>
      <c r="K811" s="180"/>
      <c r="M811" s="180"/>
      <c r="N811" s="177"/>
    </row>
    <row r="812" ht="15.75" customHeight="1">
      <c r="D812" s="180"/>
      <c r="H812" s="176"/>
      <c r="I812" s="177"/>
      <c r="J812" s="180"/>
      <c r="K812" s="180"/>
      <c r="M812" s="180"/>
      <c r="N812" s="177"/>
    </row>
    <row r="813" ht="15.75" customHeight="1">
      <c r="D813" s="180"/>
      <c r="H813" s="176"/>
      <c r="I813" s="177"/>
      <c r="J813" s="180"/>
      <c r="K813" s="180"/>
      <c r="M813" s="180"/>
      <c r="N813" s="177"/>
    </row>
    <row r="814" ht="15.75" customHeight="1">
      <c r="D814" s="180"/>
      <c r="H814" s="176"/>
      <c r="I814" s="177"/>
      <c r="J814" s="180"/>
      <c r="K814" s="180"/>
      <c r="M814" s="180"/>
      <c r="N814" s="177"/>
    </row>
    <row r="815" ht="15.75" customHeight="1">
      <c r="D815" s="180"/>
      <c r="H815" s="176"/>
      <c r="I815" s="177"/>
      <c r="J815" s="180"/>
      <c r="K815" s="180"/>
      <c r="M815" s="180"/>
      <c r="N815" s="177"/>
    </row>
    <row r="816" ht="15.75" customHeight="1">
      <c r="D816" s="180"/>
      <c r="H816" s="176"/>
      <c r="I816" s="177"/>
      <c r="J816" s="180"/>
      <c r="K816" s="180"/>
      <c r="M816" s="180"/>
      <c r="N816" s="177"/>
    </row>
    <row r="817" ht="15.75" customHeight="1">
      <c r="D817" s="180"/>
      <c r="H817" s="176"/>
      <c r="I817" s="177"/>
      <c r="J817" s="180"/>
      <c r="K817" s="180"/>
      <c r="M817" s="180"/>
      <c r="N817" s="177"/>
    </row>
    <row r="818" ht="15.75" customHeight="1">
      <c r="D818" s="180"/>
      <c r="H818" s="176"/>
      <c r="I818" s="177"/>
      <c r="J818" s="180"/>
      <c r="K818" s="180"/>
      <c r="M818" s="180"/>
      <c r="N818" s="177"/>
    </row>
    <row r="819" ht="15.75" customHeight="1">
      <c r="D819" s="180"/>
      <c r="H819" s="176"/>
      <c r="I819" s="177"/>
      <c r="J819" s="180"/>
      <c r="K819" s="180"/>
      <c r="M819" s="180"/>
      <c r="N819" s="177"/>
    </row>
    <row r="820" ht="15.75" customHeight="1">
      <c r="D820" s="180"/>
      <c r="H820" s="176"/>
      <c r="I820" s="177"/>
      <c r="J820" s="180"/>
      <c r="K820" s="180"/>
      <c r="M820" s="180"/>
      <c r="N820" s="177"/>
    </row>
    <row r="821" ht="15.75" customHeight="1">
      <c r="D821" s="180"/>
      <c r="H821" s="176"/>
      <c r="I821" s="177"/>
      <c r="J821" s="180"/>
      <c r="K821" s="180"/>
      <c r="M821" s="180"/>
      <c r="N821" s="177"/>
    </row>
    <row r="822" ht="15.75" customHeight="1">
      <c r="D822" s="180"/>
      <c r="H822" s="176"/>
      <c r="I822" s="177"/>
      <c r="J822" s="180"/>
      <c r="K822" s="180"/>
      <c r="M822" s="180"/>
      <c r="N822" s="177"/>
    </row>
    <row r="823" ht="15.75" customHeight="1">
      <c r="D823" s="180"/>
      <c r="H823" s="176"/>
      <c r="I823" s="177"/>
      <c r="J823" s="180"/>
      <c r="K823" s="180"/>
      <c r="M823" s="180"/>
      <c r="N823" s="177"/>
    </row>
    <row r="824" ht="15.75" customHeight="1">
      <c r="D824" s="180"/>
      <c r="H824" s="176"/>
      <c r="I824" s="177"/>
      <c r="J824" s="180"/>
      <c r="K824" s="180"/>
      <c r="M824" s="180"/>
      <c r="N824" s="177"/>
    </row>
    <row r="825" ht="15.75" customHeight="1">
      <c r="D825" s="180"/>
      <c r="H825" s="176"/>
      <c r="I825" s="177"/>
      <c r="J825" s="180"/>
      <c r="K825" s="180"/>
      <c r="M825" s="180"/>
      <c r="N825" s="177"/>
    </row>
    <row r="826" ht="15.75" customHeight="1">
      <c r="D826" s="180"/>
      <c r="H826" s="176"/>
      <c r="I826" s="177"/>
      <c r="J826" s="180"/>
      <c r="K826" s="180"/>
      <c r="M826" s="180"/>
      <c r="N826" s="177"/>
    </row>
    <row r="827" ht="15.75" customHeight="1">
      <c r="D827" s="180"/>
      <c r="H827" s="176"/>
      <c r="I827" s="177"/>
      <c r="J827" s="180"/>
      <c r="K827" s="180"/>
      <c r="M827" s="180"/>
      <c r="N827" s="177"/>
    </row>
    <row r="828" ht="15.75" customHeight="1">
      <c r="D828" s="180"/>
      <c r="H828" s="176"/>
      <c r="I828" s="177"/>
      <c r="J828" s="180"/>
      <c r="K828" s="180"/>
      <c r="M828" s="180"/>
      <c r="N828" s="177"/>
    </row>
    <row r="829" ht="15.75" customHeight="1">
      <c r="D829" s="180"/>
      <c r="H829" s="176"/>
      <c r="I829" s="177"/>
      <c r="J829" s="180"/>
      <c r="K829" s="180"/>
      <c r="M829" s="180"/>
      <c r="N829" s="177"/>
    </row>
    <row r="830" ht="15.75" customHeight="1">
      <c r="D830" s="180"/>
      <c r="H830" s="176"/>
      <c r="I830" s="177"/>
      <c r="J830" s="180"/>
      <c r="K830" s="180"/>
      <c r="M830" s="180"/>
      <c r="N830" s="177"/>
    </row>
    <row r="831" ht="15.75" customHeight="1">
      <c r="D831" s="180"/>
      <c r="H831" s="176"/>
      <c r="I831" s="177"/>
      <c r="J831" s="180"/>
      <c r="K831" s="180"/>
      <c r="M831" s="180"/>
      <c r="N831" s="177"/>
    </row>
    <row r="832" ht="15.75" customHeight="1">
      <c r="D832" s="180"/>
      <c r="H832" s="176"/>
      <c r="I832" s="177"/>
      <c r="J832" s="180"/>
      <c r="K832" s="180"/>
      <c r="M832" s="180"/>
      <c r="N832" s="177"/>
    </row>
    <row r="833" ht="15.75" customHeight="1">
      <c r="D833" s="180"/>
      <c r="H833" s="176"/>
      <c r="I833" s="177"/>
      <c r="J833" s="180"/>
      <c r="K833" s="180"/>
      <c r="M833" s="180"/>
      <c r="N833" s="177"/>
    </row>
    <row r="834" ht="15.75" customHeight="1">
      <c r="D834" s="180"/>
      <c r="H834" s="176"/>
      <c r="I834" s="177"/>
      <c r="J834" s="180"/>
      <c r="K834" s="180"/>
      <c r="M834" s="180"/>
      <c r="N834" s="177"/>
    </row>
    <row r="835" ht="15.75" customHeight="1">
      <c r="D835" s="180"/>
      <c r="H835" s="176"/>
      <c r="I835" s="177"/>
      <c r="J835" s="180"/>
      <c r="K835" s="180"/>
      <c r="M835" s="180"/>
      <c r="N835" s="177"/>
    </row>
    <row r="836" ht="15.75" customHeight="1">
      <c r="D836" s="180"/>
      <c r="H836" s="176"/>
      <c r="I836" s="177"/>
      <c r="J836" s="180"/>
      <c r="K836" s="180"/>
      <c r="M836" s="180"/>
      <c r="N836" s="177"/>
    </row>
    <row r="837" ht="15.75" customHeight="1">
      <c r="D837" s="180"/>
      <c r="H837" s="176"/>
      <c r="I837" s="177"/>
      <c r="J837" s="180"/>
      <c r="K837" s="180"/>
      <c r="M837" s="180"/>
      <c r="N837" s="177"/>
    </row>
    <row r="838" ht="15.75" customHeight="1">
      <c r="D838" s="180"/>
      <c r="H838" s="176"/>
      <c r="I838" s="177"/>
      <c r="J838" s="180"/>
      <c r="K838" s="180"/>
      <c r="M838" s="180"/>
      <c r="N838" s="177"/>
    </row>
    <row r="839" ht="15.75" customHeight="1">
      <c r="D839" s="180"/>
      <c r="H839" s="176"/>
      <c r="I839" s="177"/>
      <c r="J839" s="180"/>
      <c r="K839" s="180"/>
      <c r="M839" s="180"/>
      <c r="N839" s="177"/>
    </row>
    <row r="840" ht="15.75" customHeight="1">
      <c r="D840" s="180"/>
      <c r="H840" s="176"/>
      <c r="I840" s="177"/>
      <c r="J840" s="180"/>
      <c r="K840" s="180"/>
      <c r="M840" s="180"/>
      <c r="N840" s="177"/>
    </row>
    <row r="841" ht="15.75" customHeight="1">
      <c r="D841" s="180"/>
      <c r="H841" s="176"/>
      <c r="I841" s="177"/>
      <c r="J841" s="180"/>
      <c r="K841" s="180"/>
      <c r="M841" s="180"/>
      <c r="N841" s="177"/>
    </row>
    <row r="842" ht="15.75" customHeight="1">
      <c r="D842" s="180"/>
      <c r="H842" s="176"/>
      <c r="I842" s="177"/>
      <c r="J842" s="180"/>
      <c r="K842" s="180"/>
      <c r="M842" s="180"/>
      <c r="N842" s="177"/>
    </row>
    <row r="843" ht="15.75" customHeight="1">
      <c r="D843" s="180"/>
      <c r="H843" s="176"/>
      <c r="I843" s="177"/>
      <c r="J843" s="180"/>
      <c r="K843" s="180"/>
      <c r="M843" s="180"/>
      <c r="N843" s="177"/>
    </row>
    <row r="844" ht="15.75" customHeight="1">
      <c r="D844" s="180"/>
      <c r="H844" s="176"/>
      <c r="I844" s="177"/>
      <c r="J844" s="180"/>
      <c r="K844" s="180"/>
      <c r="M844" s="180"/>
      <c r="N844" s="177"/>
    </row>
    <row r="845" ht="15.75" customHeight="1">
      <c r="D845" s="180"/>
      <c r="H845" s="176"/>
      <c r="I845" s="177"/>
      <c r="J845" s="180"/>
      <c r="K845" s="180"/>
      <c r="M845" s="180"/>
      <c r="N845" s="177"/>
    </row>
    <row r="846" ht="15.75" customHeight="1">
      <c r="D846" s="180"/>
      <c r="H846" s="176"/>
      <c r="I846" s="177"/>
      <c r="J846" s="180"/>
      <c r="K846" s="180"/>
      <c r="M846" s="180"/>
      <c r="N846" s="177"/>
    </row>
    <row r="847" ht="15.75" customHeight="1">
      <c r="D847" s="180"/>
      <c r="H847" s="176"/>
      <c r="I847" s="177"/>
      <c r="J847" s="180"/>
      <c r="K847" s="180"/>
      <c r="M847" s="180"/>
      <c r="N847" s="177"/>
    </row>
    <row r="848" ht="15.75" customHeight="1">
      <c r="D848" s="180"/>
      <c r="H848" s="176"/>
      <c r="I848" s="177"/>
      <c r="J848" s="180"/>
      <c r="K848" s="180"/>
      <c r="M848" s="180"/>
      <c r="N848" s="177"/>
    </row>
    <row r="849" ht="15.75" customHeight="1">
      <c r="D849" s="180"/>
      <c r="H849" s="176"/>
      <c r="I849" s="177"/>
      <c r="J849" s="180"/>
      <c r="K849" s="180"/>
      <c r="M849" s="180"/>
      <c r="N849" s="177"/>
    </row>
    <row r="850" ht="15.75" customHeight="1">
      <c r="D850" s="180"/>
      <c r="H850" s="176"/>
      <c r="I850" s="177"/>
      <c r="J850" s="180"/>
      <c r="K850" s="180"/>
      <c r="M850" s="180"/>
      <c r="N850" s="177"/>
    </row>
    <row r="851" ht="15.75" customHeight="1">
      <c r="D851" s="180"/>
      <c r="H851" s="176"/>
      <c r="I851" s="177"/>
      <c r="J851" s="180"/>
      <c r="K851" s="180"/>
      <c r="M851" s="180"/>
      <c r="N851" s="177"/>
    </row>
    <row r="852" ht="15.75" customHeight="1">
      <c r="D852" s="180"/>
      <c r="H852" s="176"/>
      <c r="I852" s="177"/>
      <c r="J852" s="180"/>
      <c r="K852" s="180"/>
      <c r="M852" s="180"/>
      <c r="N852" s="177"/>
    </row>
    <row r="853" ht="15.75" customHeight="1">
      <c r="D853" s="180"/>
      <c r="H853" s="176"/>
      <c r="I853" s="177"/>
      <c r="J853" s="180"/>
      <c r="K853" s="180"/>
      <c r="M853" s="180"/>
      <c r="N853" s="177"/>
    </row>
    <row r="854" ht="15.75" customHeight="1">
      <c r="D854" s="180"/>
      <c r="H854" s="176"/>
      <c r="I854" s="177"/>
      <c r="J854" s="180"/>
      <c r="K854" s="180"/>
      <c r="M854" s="180"/>
      <c r="N854" s="177"/>
    </row>
    <row r="855" ht="15.75" customHeight="1">
      <c r="D855" s="180"/>
      <c r="H855" s="176"/>
      <c r="I855" s="177"/>
      <c r="J855" s="180"/>
      <c r="K855" s="180"/>
      <c r="M855" s="180"/>
      <c r="N855" s="177"/>
    </row>
    <row r="856" ht="15.75" customHeight="1">
      <c r="D856" s="180"/>
      <c r="H856" s="176"/>
      <c r="I856" s="177"/>
      <c r="J856" s="180"/>
      <c r="K856" s="180"/>
      <c r="M856" s="180"/>
      <c r="N856" s="177"/>
    </row>
    <row r="857" ht="15.75" customHeight="1">
      <c r="D857" s="180"/>
      <c r="H857" s="176"/>
      <c r="I857" s="177"/>
      <c r="J857" s="180"/>
      <c r="K857" s="180"/>
      <c r="M857" s="180"/>
      <c r="N857" s="177"/>
    </row>
    <row r="858" ht="15.75" customHeight="1">
      <c r="D858" s="180"/>
      <c r="H858" s="176"/>
      <c r="I858" s="177"/>
      <c r="J858" s="180"/>
      <c r="K858" s="180"/>
      <c r="M858" s="180"/>
      <c r="N858" s="177"/>
    </row>
    <row r="859" ht="15.75" customHeight="1">
      <c r="D859" s="180"/>
      <c r="H859" s="176"/>
      <c r="I859" s="177"/>
      <c r="J859" s="180"/>
      <c r="K859" s="180"/>
      <c r="M859" s="180"/>
      <c r="N859" s="177"/>
    </row>
    <row r="860" ht="15.75" customHeight="1">
      <c r="D860" s="180"/>
      <c r="H860" s="176"/>
      <c r="I860" s="177"/>
      <c r="J860" s="180"/>
      <c r="K860" s="180"/>
      <c r="M860" s="180"/>
      <c r="N860" s="177"/>
    </row>
    <row r="861" ht="15.75" customHeight="1">
      <c r="D861" s="180"/>
      <c r="H861" s="176"/>
      <c r="I861" s="177"/>
      <c r="J861" s="180"/>
      <c r="K861" s="180"/>
      <c r="M861" s="180"/>
      <c r="N861" s="177"/>
    </row>
    <row r="862" ht="15.75" customHeight="1">
      <c r="D862" s="180"/>
      <c r="H862" s="176"/>
      <c r="I862" s="177"/>
      <c r="J862" s="180"/>
      <c r="K862" s="180"/>
      <c r="M862" s="180"/>
      <c r="N862" s="177"/>
    </row>
    <row r="863" ht="15.75" customHeight="1">
      <c r="D863" s="180"/>
      <c r="H863" s="176"/>
      <c r="I863" s="177"/>
      <c r="J863" s="180"/>
      <c r="K863" s="180"/>
      <c r="M863" s="180"/>
      <c r="N863" s="177"/>
    </row>
    <row r="864" ht="15.75" customHeight="1">
      <c r="D864" s="180"/>
      <c r="H864" s="176"/>
      <c r="I864" s="177"/>
      <c r="J864" s="180"/>
      <c r="K864" s="180"/>
      <c r="M864" s="180"/>
      <c r="N864" s="177"/>
    </row>
    <row r="865" ht="15.75" customHeight="1">
      <c r="D865" s="180"/>
      <c r="H865" s="176"/>
      <c r="I865" s="177"/>
      <c r="J865" s="180"/>
      <c r="K865" s="180"/>
      <c r="M865" s="180"/>
      <c r="N865" s="177"/>
    </row>
    <row r="866" ht="15.75" customHeight="1">
      <c r="D866" s="180"/>
      <c r="H866" s="176"/>
      <c r="I866" s="177"/>
      <c r="J866" s="180"/>
      <c r="K866" s="180"/>
      <c r="M866" s="180"/>
      <c r="N866" s="177"/>
    </row>
    <row r="867" ht="15.75" customHeight="1">
      <c r="D867" s="180"/>
      <c r="H867" s="176"/>
      <c r="I867" s="177"/>
      <c r="J867" s="180"/>
      <c r="K867" s="180"/>
      <c r="M867" s="180"/>
      <c r="N867" s="177"/>
    </row>
    <row r="868" ht="15.75" customHeight="1">
      <c r="D868" s="180"/>
      <c r="H868" s="176"/>
      <c r="I868" s="177"/>
      <c r="J868" s="180"/>
      <c r="K868" s="180"/>
      <c r="M868" s="180"/>
      <c r="N868" s="177"/>
    </row>
    <row r="869" ht="15.75" customHeight="1">
      <c r="D869" s="180"/>
      <c r="H869" s="176"/>
      <c r="I869" s="177"/>
      <c r="J869" s="180"/>
      <c r="K869" s="180"/>
      <c r="M869" s="180"/>
      <c r="N869" s="177"/>
    </row>
    <row r="870" ht="15.75" customHeight="1">
      <c r="D870" s="180"/>
      <c r="H870" s="176"/>
      <c r="I870" s="177"/>
      <c r="J870" s="180"/>
      <c r="K870" s="180"/>
      <c r="M870" s="180"/>
      <c r="N870" s="177"/>
    </row>
    <row r="871" ht="15.75" customHeight="1">
      <c r="D871" s="180"/>
      <c r="H871" s="176"/>
      <c r="I871" s="177"/>
      <c r="J871" s="180"/>
      <c r="K871" s="180"/>
      <c r="M871" s="180"/>
      <c r="N871" s="177"/>
    </row>
    <row r="872" ht="15.75" customHeight="1">
      <c r="D872" s="180"/>
      <c r="H872" s="176"/>
      <c r="I872" s="177"/>
      <c r="J872" s="180"/>
      <c r="K872" s="180"/>
      <c r="M872" s="180"/>
      <c r="N872" s="177"/>
    </row>
    <row r="873" ht="15.75" customHeight="1">
      <c r="D873" s="180"/>
      <c r="H873" s="176"/>
      <c r="I873" s="177"/>
      <c r="J873" s="180"/>
      <c r="K873" s="180"/>
      <c r="M873" s="180"/>
      <c r="N873" s="177"/>
    </row>
    <row r="874" ht="15.75" customHeight="1">
      <c r="D874" s="180"/>
      <c r="H874" s="176"/>
      <c r="I874" s="177"/>
      <c r="J874" s="180"/>
      <c r="K874" s="180"/>
      <c r="M874" s="180"/>
      <c r="N874" s="177"/>
    </row>
    <row r="875" ht="15.75" customHeight="1">
      <c r="D875" s="180"/>
      <c r="H875" s="176"/>
      <c r="I875" s="177"/>
      <c r="J875" s="180"/>
      <c r="K875" s="180"/>
      <c r="M875" s="180"/>
      <c r="N875" s="177"/>
    </row>
    <row r="876" ht="15.75" customHeight="1">
      <c r="D876" s="180"/>
      <c r="H876" s="176"/>
      <c r="I876" s="177"/>
      <c r="J876" s="180"/>
      <c r="K876" s="180"/>
      <c r="M876" s="180"/>
      <c r="N876" s="177"/>
    </row>
    <row r="877" ht="15.75" customHeight="1">
      <c r="D877" s="180"/>
      <c r="H877" s="176"/>
      <c r="I877" s="177"/>
      <c r="J877" s="180"/>
      <c r="K877" s="180"/>
      <c r="M877" s="180"/>
      <c r="N877" s="177"/>
    </row>
    <row r="878" ht="15.75" customHeight="1">
      <c r="D878" s="180"/>
      <c r="H878" s="176"/>
      <c r="I878" s="177"/>
      <c r="J878" s="180"/>
      <c r="K878" s="180"/>
      <c r="M878" s="180"/>
      <c r="N878" s="177"/>
    </row>
    <row r="879" ht="15.75" customHeight="1">
      <c r="D879" s="180"/>
      <c r="H879" s="176"/>
      <c r="I879" s="177"/>
      <c r="J879" s="180"/>
      <c r="K879" s="180"/>
      <c r="M879" s="180"/>
      <c r="N879" s="177"/>
    </row>
    <row r="880" ht="15.75" customHeight="1">
      <c r="D880" s="180"/>
      <c r="H880" s="176"/>
      <c r="I880" s="177"/>
      <c r="J880" s="180"/>
      <c r="K880" s="180"/>
      <c r="M880" s="180"/>
      <c r="N880" s="177"/>
    </row>
    <row r="881" ht="15.75" customHeight="1">
      <c r="D881" s="180"/>
      <c r="H881" s="176"/>
      <c r="I881" s="177"/>
      <c r="J881" s="180"/>
      <c r="K881" s="180"/>
      <c r="M881" s="180"/>
      <c r="N881" s="177"/>
    </row>
    <row r="882" ht="15.75" customHeight="1">
      <c r="D882" s="180"/>
      <c r="H882" s="176"/>
      <c r="I882" s="177"/>
      <c r="J882" s="180"/>
      <c r="K882" s="180"/>
      <c r="M882" s="180"/>
      <c r="N882" s="177"/>
    </row>
    <row r="883" ht="15.75" customHeight="1">
      <c r="D883" s="180"/>
      <c r="H883" s="176"/>
      <c r="I883" s="177"/>
      <c r="J883" s="180"/>
      <c r="K883" s="180"/>
      <c r="M883" s="180"/>
      <c r="N883" s="177"/>
    </row>
    <row r="884" ht="15.75" customHeight="1">
      <c r="D884" s="180"/>
      <c r="H884" s="176"/>
      <c r="I884" s="177"/>
      <c r="J884" s="180"/>
      <c r="K884" s="180"/>
      <c r="M884" s="180"/>
      <c r="N884" s="177"/>
    </row>
    <row r="885" ht="15.75" customHeight="1">
      <c r="D885" s="180"/>
      <c r="H885" s="176"/>
      <c r="I885" s="177"/>
      <c r="J885" s="180"/>
      <c r="K885" s="180"/>
      <c r="M885" s="180"/>
      <c r="N885" s="177"/>
    </row>
    <row r="886" ht="15.75" customHeight="1">
      <c r="D886" s="180"/>
      <c r="H886" s="176"/>
      <c r="I886" s="177"/>
      <c r="J886" s="180"/>
      <c r="K886" s="180"/>
      <c r="M886" s="180"/>
      <c r="N886" s="177"/>
    </row>
    <row r="887" ht="15.75" customHeight="1">
      <c r="D887" s="180"/>
      <c r="H887" s="176"/>
      <c r="I887" s="177"/>
      <c r="J887" s="180"/>
      <c r="K887" s="180"/>
      <c r="M887" s="180"/>
      <c r="N887" s="177"/>
    </row>
    <row r="888" ht="15.75" customHeight="1">
      <c r="D888" s="180"/>
      <c r="H888" s="176"/>
      <c r="I888" s="177"/>
      <c r="J888" s="180"/>
      <c r="K888" s="180"/>
      <c r="M888" s="180"/>
      <c r="N888" s="177"/>
    </row>
    <row r="889" ht="15.75" customHeight="1">
      <c r="D889" s="180"/>
      <c r="H889" s="176"/>
      <c r="I889" s="177"/>
      <c r="J889" s="180"/>
      <c r="K889" s="180"/>
      <c r="M889" s="180"/>
      <c r="N889" s="177"/>
    </row>
    <row r="890" ht="15.75" customHeight="1">
      <c r="D890" s="180"/>
      <c r="H890" s="176"/>
      <c r="I890" s="177"/>
      <c r="J890" s="180"/>
      <c r="K890" s="180"/>
      <c r="M890" s="180"/>
      <c r="N890" s="177"/>
    </row>
    <row r="891" ht="15.75" customHeight="1">
      <c r="D891" s="180"/>
      <c r="H891" s="176"/>
      <c r="I891" s="177"/>
      <c r="J891" s="180"/>
      <c r="K891" s="180"/>
      <c r="M891" s="180"/>
      <c r="N891" s="177"/>
    </row>
    <row r="892" ht="15.75" customHeight="1">
      <c r="D892" s="180"/>
      <c r="H892" s="176"/>
      <c r="I892" s="177"/>
      <c r="J892" s="180"/>
      <c r="K892" s="180"/>
      <c r="M892" s="180"/>
      <c r="N892" s="177"/>
    </row>
    <row r="893" ht="15.75" customHeight="1">
      <c r="D893" s="180"/>
      <c r="H893" s="176"/>
      <c r="I893" s="177"/>
      <c r="J893" s="180"/>
      <c r="K893" s="180"/>
      <c r="M893" s="180"/>
      <c r="N893" s="177"/>
    </row>
    <row r="894" ht="15.75" customHeight="1">
      <c r="D894" s="180"/>
      <c r="H894" s="176"/>
      <c r="I894" s="177"/>
      <c r="J894" s="180"/>
      <c r="K894" s="180"/>
      <c r="M894" s="180"/>
      <c r="N894" s="177"/>
    </row>
    <row r="895" ht="15.75" customHeight="1">
      <c r="D895" s="180"/>
      <c r="H895" s="176"/>
      <c r="I895" s="177"/>
      <c r="J895" s="180"/>
      <c r="K895" s="180"/>
      <c r="M895" s="180"/>
      <c r="N895" s="177"/>
    </row>
    <row r="896" ht="15.75" customHeight="1">
      <c r="D896" s="180"/>
      <c r="H896" s="176"/>
      <c r="I896" s="177"/>
      <c r="J896" s="180"/>
      <c r="K896" s="180"/>
      <c r="M896" s="180"/>
      <c r="N896" s="177"/>
    </row>
    <row r="897" ht="15.75" customHeight="1">
      <c r="D897" s="180"/>
      <c r="H897" s="176"/>
      <c r="I897" s="177"/>
      <c r="J897" s="180"/>
      <c r="K897" s="180"/>
      <c r="M897" s="180"/>
      <c r="N897" s="177"/>
    </row>
    <row r="898" ht="15.75" customHeight="1">
      <c r="D898" s="180"/>
      <c r="H898" s="176"/>
      <c r="I898" s="177"/>
      <c r="J898" s="180"/>
      <c r="K898" s="180"/>
      <c r="M898" s="180"/>
      <c r="N898" s="177"/>
    </row>
    <row r="899" ht="15.75" customHeight="1">
      <c r="D899" s="180"/>
      <c r="H899" s="176"/>
      <c r="I899" s="177"/>
      <c r="J899" s="180"/>
      <c r="K899" s="180"/>
      <c r="M899" s="180"/>
      <c r="N899" s="177"/>
    </row>
    <row r="900" ht="15.75" customHeight="1">
      <c r="D900" s="180"/>
      <c r="H900" s="176"/>
      <c r="I900" s="177"/>
      <c r="J900" s="180"/>
      <c r="K900" s="180"/>
      <c r="M900" s="180"/>
      <c r="N900" s="177"/>
    </row>
    <row r="901" ht="15.75" customHeight="1">
      <c r="D901" s="180"/>
      <c r="H901" s="176"/>
      <c r="I901" s="177"/>
      <c r="J901" s="180"/>
      <c r="K901" s="180"/>
      <c r="M901" s="180"/>
      <c r="N901" s="177"/>
    </row>
    <row r="902" ht="15.75" customHeight="1">
      <c r="D902" s="180"/>
      <c r="H902" s="176"/>
      <c r="I902" s="177"/>
      <c r="J902" s="180"/>
      <c r="K902" s="180"/>
      <c r="M902" s="180"/>
      <c r="N902" s="177"/>
    </row>
    <row r="903" ht="15.75" customHeight="1">
      <c r="D903" s="180"/>
      <c r="H903" s="176"/>
      <c r="I903" s="177"/>
      <c r="J903" s="180"/>
      <c r="K903" s="180"/>
      <c r="M903" s="180"/>
      <c r="N903" s="177"/>
    </row>
    <row r="904" ht="15.75" customHeight="1">
      <c r="D904" s="180"/>
      <c r="H904" s="176"/>
      <c r="I904" s="177"/>
      <c r="J904" s="180"/>
      <c r="K904" s="180"/>
      <c r="M904" s="180"/>
      <c r="N904" s="177"/>
    </row>
    <row r="905" ht="15.75" customHeight="1">
      <c r="D905" s="180"/>
      <c r="H905" s="176"/>
      <c r="I905" s="177"/>
      <c r="J905" s="180"/>
      <c r="K905" s="180"/>
      <c r="M905" s="180"/>
      <c r="N905" s="177"/>
    </row>
    <row r="906" ht="15.75" customHeight="1">
      <c r="D906" s="180"/>
      <c r="H906" s="176"/>
      <c r="I906" s="177"/>
      <c r="J906" s="180"/>
      <c r="K906" s="180"/>
      <c r="M906" s="180"/>
      <c r="N906" s="177"/>
    </row>
    <row r="907" ht="15.75" customHeight="1">
      <c r="D907" s="180"/>
      <c r="H907" s="176"/>
      <c r="I907" s="177"/>
      <c r="J907" s="180"/>
      <c r="K907" s="180"/>
      <c r="M907" s="180"/>
      <c r="N907" s="177"/>
    </row>
    <row r="908" ht="15.75" customHeight="1">
      <c r="D908" s="180"/>
      <c r="H908" s="176"/>
      <c r="I908" s="177"/>
      <c r="J908" s="180"/>
      <c r="K908" s="180"/>
      <c r="M908" s="180"/>
      <c r="N908" s="177"/>
    </row>
    <row r="909" ht="15.75" customHeight="1">
      <c r="D909" s="180"/>
      <c r="H909" s="176"/>
      <c r="I909" s="177"/>
      <c r="J909" s="180"/>
      <c r="K909" s="180"/>
      <c r="M909" s="180"/>
      <c r="N909" s="177"/>
    </row>
    <row r="910" ht="15.75" customHeight="1">
      <c r="D910" s="180"/>
      <c r="H910" s="176"/>
      <c r="I910" s="177"/>
      <c r="J910" s="180"/>
      <c r="K910" s="180"/>
      <c r="M910" s="180"/>
      <c r="N910" s="177"/>
    </row>
    <row r="911" ht="15.75" customHeight="1">
      <c r="D911" s="180"/>
      <c r="H911" s="176"/>
      <c r="I911" s="177"/>
      <c r="J911" s="180"/>
      <c r="K911" s="180"/>
      <c r="M911" s="180"/>
      <c r="N911" s="177"/>
    </row>
    <row r="912" ht="15.75" customHeight="1">
      <c r="D912" s="180"/>
      <c r="H912" s="176"/>
      <c r="I912" s="177"/>
      <c r="J912" s="180"/>
      <c r="K912" s="180"/>
      <c r="M912" s="180"/>
      <c r="N912" s="177"/>
    </row>
    <row r="913" ht="15.75" customHeight="1">
      <c r="D913" s="180"/>
      <c r="H913" s="176"/>
      <c r="I913" s="177"/>
      <c r="J913" s="180"/>
      <c r="K913" s="180"/>
      <c r="M913" s="180"/>
      <c r="N913" s="177"/>
    </row>
    <row r="914" ht="15.75" customHeight="1">
      <c r="D914" s="180"/>
      <c r="H914" s="176"/>
      <c r="I914" s="177"/>
      <c r="J914" s="180"/>
      <c r="K914" s="180"/>
      <c r="M914" s="180"/>
      <c r="N914" s="177"/>
    </row>
    <row r="915" ht="15.75" customHeight="1">
      <c r="D915" s="180"/>
      <c r="H915" s="176"/>
      <c r="I915" s="177"/>
      <c r="J915" s="180"/>
      <c r="K915" s="180"/>
      <c r="M915" s="180"/>
      <c r="N915" s="177"/>
    </row>
    <row r="916" ht="15.75" customHeight="1">
      <c r="D916" s="180"/>
      <c r="H916" s="176"/>
      <c r="I916" s="177"/>
      <c r="J916" s="180"/>
      <c r="K916" s="180"/>
      <c r="M916" s="180"/>
      <c r="N916" s="177"/>
    </row>
    <row r="917" ht="15.75" customHeight="1">
      <c r="D917" s="180"/>
      <c r="H917" s="176"/>
      <c r="I917" s="177"/>
      <c r="J917" s="180"/>
      <c r="K917" s="180"/>
      <c r="M917" s="180"/>
      <c r="N917" s="177"/>
    </row>
    <row r="918" ht="15.75" customHeight="1">
      <c r="D918" s="180"/>
      <c r="H918" s="176"/>
      <c r="I918" s="177"/>
      <c r="J918" s="180"/>
      <c r="K918" s="180"/>
      <c r="M918" s="180"/>
      <c r="N918" s="177"/>
    </row>
    <row r="919" ht="15.75" customHeight="1">
      <c r="D919" s="180"/>
      <c r="H919" s="176"/>
      <c r="I919" s="177"/>
      <c r="J919" s="180"/>
      <c r="K919" s="180"/>
      <c r="M919" s="180"/>
      <c r="N919" s="177"/>
    </row>
    <row r="920" ht="15.75" customHeight="1">
      <c r="D920" s="180"/>
      <c r="H920" s="176"/>
      <c r="I920" s="177"/>
      <c r="J920" s="180"/>
      <c r="K920" s="180"/>
      <c r="M920" s="180"/>
      <c r="N920" s="177"/>
    </row>
    <row r="921" ht="15.75" customHeight="1">
      <c r="D921" s="180"/>
      <c r="H921" s="176"/>
      <c r="I921" s="177"/>
      <c r="J921" s="180"/>
      <c r="K921" s="180"/>
      <c r="M921" s="180"/>
      <c r="N921" s="177"/>
    </row>
    <row r="922" ht="15.75" customHeight="1">
      <c r="D922" s="180"/>
      <c r="H922" s="176"/>
      <c r="I922" s="177"/>
      <c r="J922" s="180"/>
      <c r="K922" s="180"/>
      <c r="M922" s="180"/>
      <c r="N922" s="177"/>
    </row>
    <row r="923" ht="15.75" customHeight="1">
      <c r="D923" s="180"/>
      <c r="H923" s="176"/>
      <c r="I923" s="177"/>
      <c r="J923" s="180"/>
      <c r="K923" s="180"/>
      <c r="M923" s="180"/>
      <c r="N923" s="177"/>
    </row>
    <row r="924" ht="15.75" customHeight="1">
      <c r="D924" s="180"/>
      <c r="H924" s="176"/>
      <c r="I924" s="177"/>
      <c r="J924" s="180"/>
      <c r="K924" s="180"/>
      <c r="M924" s="180"/>
      <c r="N924" s="177"/>
    </row>
    <row r="925" ht="15.75" customHeight="1">
      <c r="D925" s="180"/>
      <c r="H925" s="176"/>
      <c r="I925" s="177"/>
      <c r="J925" s="180"/>
      <c r="K925" s="180"/>
      <c r="M925" s="180"/>
      <c r="N925" s="177"/>
    </row>
    <row r="926" ht="15.75" customHeight="1">
      <c r="D926" s="180"/>
      <c r="H926" s="176"/>
      <c r="I926" s="177"/>
      <c r="J926" s="180"/>
      <c r="K926" s="180"/>
      <c r="M926" s="180"/>
      <c r="N926" s="177"/>
    </row>
    <row r="927" ht="15.75" customHeight="1">
      <c r="D927" s="180"/>
      <c r="H927" s="176"/>
      <c r="I927" s="177"/>
      <c r="J927" s="180"/>
      <c r="K927" s="180"/>
      <c r="M927" s="180"/>
      <c r="N927" s="177"/>
    </row>
    <row r="928" ht="15.75" customHeight="1">
      <c r="D928" s="180"/>
      <c r="H928" s="176"/>
      <c r="I928" s="177"/>
      <c r="J928" s="180"/>
      <c r="K928" s="180"/>
      <c r="M928" s="180"/>
      <c r="N928" s="177"/>
    </row>
    <row r="929" ht="15.75" customHeight="1">
      <c r="D929" s="180"/>
      <c r="H929" s="176"/>
      <c r="I929" s="177"/>
      <c r="J929" s="180"/>
      <c r="K929" s="180"/>
      <c r="M929" s="180"/>
      <c r="N929" s="177"/>
    </row>
    <row r="930" ht="15.75" customHeight="1">
      <c r="D930" s="180"/>
      <c r="H930" s="176"/>
      <c r="I930" s="177"/>
      <c r="J930" s="180"/>
      <c r="K930" s="180"/>
      <c r="M930" s="180"/>
      <c r="N930" s="177"/>
    </row>
    <row r="931" ht="15.75" customHeight="1">
      <c r="D931" s="180"/>
      <c r="H931" s="176"/>
      <c r="I931" s="177"/>
      <c r="J931" s="180"/>
      <c r="K931" s="180"/>
      <c r="M931" s="180"/>
      <c r="N931" s="177"/>
    </row>
    <row r="932" ht="15.75" customHeight="1">
      <c r="D932" s="180"/>
      <c r="H932" s="176"/>
      <c r="I932" s="177"/>
      <c r="J932" s="180"/>
      <c r="K932" s="180"/>
      <c r="M932" s="180"/>
      <c r="N932" s="177"/>
    </row>
    <row r="933" ht="15.75" customHeight="1">
      <c r="D933" s="180"/>
      <c r="H933" s="176"/>
      <c r="I933" s="177"/>
      <c r="J933" s="180"/>
      <c r="K933" s="180"/>
      <c r="M933" s="180"/>
      <c r="N933" s="177"/>
    </row>
    <row r="934" ht="15.75" customHeight="1">
      <c r="D934" s="180"/>
      <c r="H934" s="176"/>
      <c r="I934" s="177"/>
      <c r="J934" s="180"/>
      <c r="K934" s="180"/>
      <c r="M934" s="180"/>
      <c r="N934" s="177"/>
    </row>
    <row r="935" ht="15.75" customHeight="1">
      <c r="D935" s="180"/>
      <c r="H935" s="176"/>
      <c r="I935" s="177"/>
      <c r="J935" s="180"/>
      <c r="K935" s="180"/>
      <c r="M935" s="180"/>
      <c r="N935" s="177"/>
    </row>
    <row r="936" ht="15.75" customHeight="1">
      <c r="D936" s="180"/>
      <c r="H936" s="176"/>
      <c r="I936" s="177"/>
      <c r="J936" s="180"/>
      <c r="K936" s="180"/>
      <c r="M936" s="180"/>
      <c r="N936" s="177"/>
    </row>
    <row r="937" ht="15.75" customHeight="1">
      <c r="D937" s="180"/>
      <c r="H937" s="176"/>
      <c r="I937" s="177"/>
      <c r="J937" s="180"/>
      <c r="K937" s="180"/>
      <c r="M937" s="180"/>
      <c r="N937" s="177"/>
    </row>
    <row r="938" ht="15.75" customHeight="1">
      <c r="D938" s="180"/>
      <c r="H938" s="176"/>
      <c r="I938" s="177"/>
      <c r="J938" s="180"/>
      <c r="K938" s="180"/>
      <c r="M938" s="180"/>
      <c r="N938" s="177"/>
    </row>
    <row r="939" ht="15.75" customHeight="1">
      <c r="D939" s="180"/>
      <c r="H939" s="176"/>
      <c r="I939" s="177"/>
      <c r="J939" s="180"/>
      <c r="K939" s="180"/>
      <c r="M939" s="180"/>
      <c r="N939" s="177"/>
    </row>
    <row r="940" ht="15.75" customHeight="1">
      <c r="D940" s="180"/>
      <c r="H940" s="176"/>
      <c r="I940" s="177"/>
      <c r="J940" s="180"/>
      <c r="K940" s="180"/>
      <c r="M940" s="180"/>
      <c r="N940" s="177"/>
    </row>
    <row r="941" ht="15.75" customHeight="1">
      <c r="D941" s="180"/>
      <c r="H941" s="176"/>
      <c r="I941" s="177"/>
      <c r="J941" s="180"/>
      <c r="K941" s="180"/>
      <c r="M941" s="180"/>
      <c r="N941" s="177"/>
    </row>
    <row r="942" ht="15.75" customHeight="1">
      <c r="D942" s="180"/>
      <c r="H942" s="176"/>
      <c r="I942" s="177"/>
      <c r="J942" s="180"/>
      <c r="K942" s="180"/>
      <c r="M942" s="180"/>
      <c r="N942" s="177"/>
    </row>
    <row r="943" ht="15.75" customHeight="1">
      <c r="D943" s="180"/>
      <c r="H943" s="176"/>
      <c r="I943" s="177"/>
      <c r="J943" s="180"/>
      <c r="K943" s="180"/>
      <c r="M943" s="180"/>
      <c r="N943" s="177"/>
    </row>
    <row r="944" ht="15.75" customHeight="1">
      <c r="D944" s="180"/>
      <c r="H944" s="176"/>
      <c r="I944" s="177"/>
      <c r="J944" s="180"/>
      <c r="K944" s="180"/>
      <c r="M944" s="180"/>
      <c r="N944" s="177"/>
    </row>
    <row r="945" ht="15.75" customHeight="1">
      <c r="D945" s="180"/>
      <c r="H945" s="176"/>
      <c r="I945" s="177"/>
      <c r="J945" s="180"/>
      <c r="K945" s="180"/>
      <c r="M945" s="180"/>
      <c r="N945" s="177"/>
    </row>
    <row r="946" ht="15.75" customHeight="1">
      <c r="D946" s="180"/>
      <c r="H946" s="176"/>
      <c r="I946" s="177"/>
      <c r="J946" s="180"/>
      <c r="K946" s="180"/>
      <c r="M946" s="180"/>
      <c r="N946" s="177"/>
    </row>
    <row r="947" ht="15.75" customHeight="1">
      <c r="D947" s="180"/>
      <c r="H947" s="176"/>
      <c r="I947" s="177"/>
      <c r="J947" s="180"/>
      <c r="K947" s="180"/>
      <c r="M947" s="180"/>
      <c r="N947" s="177"/>
    </row>
    <row r="948" ht="15.75" customHeight="1">
      <c r="D948" s="180"/>
      <c r="H948" s="176"/>
      <c r="I948" s="177"/>
      <c r="J948" s="180"/>
      <c r="K948" s="180"/>
      <c r="M948" s="180"/>
      <c r="N948" s="177"/>
    </row>
    <row r="949" ht="15.75" customHeight="1">
      <c r="D949" s="180"/>
      <c r="H949" s="176"/>
      <c r="I949" s="177"/>
      <c r="J949" s="180"/>
      <c r="K949" s="180"/>
      <c r="M949" s="180"/>
      <c r="N949" s="177"/>
    </row>
    <row r="950" ht="15.75" customHeight="1">
      <c r="D950" s="180"/>
      <c r="H950" s="176"/>
      <c r="I950" s="177"/>
      <c r="J950" s="180"/>
      <c r="K950" s="180"/>
      <c r="M950" s="180"/>
      <c r="N950" s="177"/>
    </row>
    <row r="951" ht="15.75" customHeight="1">
      <c r="D951" s="180"/>
      <c r="H951" s="176"/>
      <c r="I951" s="177"/>
      <c r="J951" s="180"/>
      <c r="K951" s="180"/>
      <c r="M951" s="180"/>
      <c r="N951" s="177"/>
    </row>
    <row r="952" ht="15.75" customHeight="1">
      <c r="D952" s="180"/>
      <c r="H952" s="176"/>
      <c r="I952" s="177"/>
      <c r="J952" s="180"/>
      <c r="K952" s="180"/>
      <c r="M952" s="180"/>
      <c r="N952" s="177"/>
    </row>
    <row r="953" ht="15.75" customHeight="1">
      <c r="D953" s="180"/>
      <c r="H953" s="176"/>
      <c r="I953" s="177"/>
      <c r="J953" s="180"/>
      <c r="K953" s="180"/>
      <c r="M953" s="180"/>
      <c r="N953" s="177"/>
    </row>
    <row r="954" ht="15.75" customHeight="1">
      <c r="D954" s="180"/>
      <c r="H954" s="176"/>
      <c r="I954" s="177"/>
      <c r="J954" s="180"/>
      <c r="K954" s="180"/>
      <c r="M954" s="180"/>
      <c r="N954" s="177"/>
    </row>
    <row r="955" ht="15.75" customHeight="1">
      <c r="D955" s="180"/>
      <c r="H955" s="176"/>
      <c r="I955" s="177"/>
      <c r="J955" s="180"/>
      <c r="K955" s="180"/>
      <c r="M955" s="180"/>
      <c r="N955" s="177"/>
    </row>
    <row r="956" ht="15.75" customHeight="1">
      <c r="D956" s="180"/>
      <c r="H956" s="176"/>
      <c r="I956" s="177"/>
      <c r="J956" s="180"/>
      <c r="K956" s="180"/>
      <c r="M956" s="180"/>
      <c r="N956" s="177"/>
    </row>
    <row r="957" ht="15.75" customHeight="1">
      <c r="D957" s="180"/>
      <c r="H957" s="176"/>
      <c r="I957" s="177"/>
      <c r="J957" s="180"/>
      <c r="K957" s="180"/>
      <c r="M957" s="180"/>
      <c r="N957" s="177"/>
    </row>
    <row r="958" ht="15.75" customHeight="1">
      <c r="D958" s="180"/>
      <c r="H958" s="176"/>
      <c r="I958" s="177"/>
      <c r="J958" s="180"/>
      <c r="K958" s="180"/>
      <c r="M958" s="180"/>
      <c r="N958" s="177"/>
    </row>
    <row r="959" ht="15.75" customHeight="1">
      <c r="D959" s="180"/>
      <c r="H959" s="176"/>
      <c r="I959" s="177"/>
      <c r="J959" s="180"/>
      <c r="K959" s="180"/>
      <c r="M959" s="180"/>
      <c r="N959" s="177"/>
    </row>
    <row r="960" ht="15.75" customHeight="1">
      <c r="D960" s="180"/>
      <c r="H960" s="176"/>
      <c r="I960" s="177"/>
      <c r="J960" s="180"/>
      <c r="K960" s="180"/>
      <c r="M960" s="180"/>
      <c r="N960" s="177"/>
    </row>
    <row r="961" ht="15.75" customHeight="1">
      <c r="D961" s="180"/>
      <c r="H961" s="176"/>
      <c r="I961" s="177"/>
      <c r="J961" s="180"/>
      <c r="K961" s="180"/>
      <c r="M961" s="180"/>
      <c r="N961" s="177"/>
    </row>
    <row r="962" ht="15.75" customHeight="1">
      <c r="D962" s="180"/>
      <c r="H962" s="176"/>
      <c r="I962" s="177"/>
      <c r="J962" s="180"/>
      <c r="K962" s="180"/>
      <c r="M962" s="180"/>
      <c r="N962" s="177"/>
    </row>
    <row r="963" ht="15.75" customHeight="1">
      <c r="D963" s="180"/>
      <c r="H963" s="176"/>
      <c r="I963" s="177"/>
      <c r="J963" s="180"/>
      <c r="K963" s="180"/>
      <c r="M963" s="180"/>
      <c r="N963" s="177"/>
    </row>
    <row r="964" ht="15.75" customHeight="1">
      <c r="D964" s="180"/>
      <c r="H964" s="176"/>
      <c r="I964" s="177"/>
      <c r="J964" s="180"/>
      <c r="K964" s="180"/>
      <c r="M964" s="180"/>
      <c r="N964" s="177"/>
    </row>
    <row r="965" ht="15.75" customHeight="1">
      <c r="D965" s="180"/>
      <c r="H965" s="176"/>
      <c r="I965" s="177"/>
      <c r="J965" s="180"/>
      <c r="K965" s="180"/>
      <c r="M965" s="180"/>
      <c r="N965" s="177"/>
    </row>
    <row r="966" ht="15.75" customHeight="1">
      <c r="D966" s="180"/>
      <c r="H966" s="176"/>
      <c r="I966" s="177"/>
      <c r="J966" s="180"/>
      <c r="K966" s="180"/>
      <c r="M966" s="180"/>
      <c r="N966" s="177"/>
    </row>
    <row r="967" ht="15.75" customHeight="1">
      <c r="D967" s="180"/>
      <c r="H967" s="176"/>
      <c r="I967" s="177"/>
      <c r="J967" s="180"/>
      <c r="K967" s="180"/>
      <c r="M967" s="180"/>
      <c r="N967" s="177"/>
    </row>
    <row r="968" ht="15.75" customHeight="1">
      <c r="D968" s="180"/>
      <c r="H968" s="176"/>
      <c r="I968" s="177"/>
      <c r="J968" s="180"/>
      <c r="K968" s="180"/>
      <c r="M968" s="180"/>
      <c r="N968" s="177"/>
    </row>
    <row r="969" ht="15.75" customHeight="1">
      <c r="D969" s="180"/>
      <c r="H969" s="176"/>
      <c r="I969" s="177"/>
      <c r="J969" s="180"/>
      <c r="K969" s="180"/>
      <c r="M969" s="180"/>
      <c r="N969" s="177"/>
    </row>
    <row r="970" ht="15.75" customHeight="1">
      <c r="D970" s="180"/>
      <c r="H970" s="176"/>
      <c r="I970" s="177"/>
      <c r="J970" s="180"/>
      <c r="K970" s="180"/>
      <c r="M970" s="180"/>
      <c r="N970" s="177"/>
    </row>
    <row r="971" ht="15.75" customHeight="1">
      <c r="D971" s="180"/>
      <c r="H971" s="176"/>
      <c r="I971" s="177"/>
      <c r="J971" s="180"/>
      <c r="K971" s="180"/>
      <c r="M971" s="180"/>
      <c r="N971" s="177"/>
    </row>
    <row r="972" ht="15.75" customHeight="1">
      <c r="D972" s="180"/>
      <c r="H972" s="176"/>
      <c r="I972" s="177"/>
      <c r="J972" s="180"/>
      <c r="K972" s="180"/>
      <c r="M972" s="180"/>
      <c r="N972" s="177"/>
    </row>
    <row r="973" ht="15.75" customHeight="1">
      <c r="D973" s="180"/>
      <c r="H973" s="176"/>
      <c r="I973" s="177"/>
      <c r="J973" s="180"/>
      <c r="K973" s="180"/>
      <c r="M973" s="180"/>
      <c r="N973" s="177"/>
    </row>
    <row r="974" ht="15.75" customHeight="1">
      <c r="D974" s="180"/>
      <c r="H974" s="176"/>
      <c r="I974" s="177"/>
      <c r="J974" s="180"/>
      <c r="K974" s="180"/>
      <c r="M974" s="180"/>
      <c r="N974" s="177"/>
    </row>
    <row r="975" ht="15.75" customHeight="1">
      <c r="D975" s="180"/>
      <c r="H975" s="176"/>
      <c r="I975" s="177"/>
      <c r="J975" s="180"/>
      <c r="K975" s="180"/>
      <c r="M975" s="180"/>
      <c r="N975" s="177"/>
    </row>
    <row r="976" ht="15.75" customHeight="1">
      <c r="D976" s="180"/>
      <c r="H976" s="176"/>
      <c r="I976" s="177"/>
      <c r="J976" s="180"/>
      <c r="K976" s="180"/>
      <c r="M976" s="180"/>
      <c r="N976" s="177"/>
    </row>
    <row r="977" ht="15.75" customHeight="1">
      <c r="D977" s="180"/>
      <c r="H977" s="176"/>
      <c r="I977" s="177"/>
      <c r="J977" s="180"/>
      <c r="K977" s="180"/>
      <c r="M977" s="180"/>
      <c r="N977" s="177"/>
    </row>
    <row r="978" ht="15.75" customHeight="1">
      <c r="D978" s="180"/>
      <c r="H978" s="176"/>
      <c r="I978" s="177"/>
      <c r="J978" s="180"/>
      <c r="K978" s="180"/>
      <c r="M978" s="180"/>
      <c r="N978" s="177"/>
    </row>
    <row r="979" ht="15.75" customHeight="1">
      <c r="D979" s="180"/>
      <c r="H979" s="176"/>
      <c r="I979" s="177"/>
      <c r="J979" s="180"/>
      <c r="K979" s="180"/>
      <c r="M979" s="180"/>
      <c r="N979" s="177"/>
    </row>
    <row r="980" ht="15.75" customHeight="1">
      <c r="D980" s="180"/>
      <c r="H980" s="176"/>
      <c r="I980" s="177"/>
      <c r="J980" s="180"/>
      <c r="K980" s="180"/>
      <c r="M980" s="180"/>
      <c r="N980" s="177"/>
    </row>
    <row r="981" ht="15.75" customHeight="1">
      <c r="D981" s="180"/>
      <c r="H981" s="176"/>
      <c r="I981" s="177"/>
      <c r="J981" s="180"/>
      <c r="K981" s="180"/>
      <c r="M981" s="180"/>
      <c r="N981" s="177"/>
    </row>
    <row r="982" ht="15.75" customHeight="1">
      <c r="D982" s="180"/>
      <c r="H982" s="176"/>
      <c r="I982" s="177"/>
      <c r="J982" s="180"/>
      <c r="K982" s="180"/>
      <c r="M982" s="180"/>
      <c r="N982" s="177"/>
    </row>
    <row r="983" ht="15.75" customHeight="1">
      <c r="D983" s="180"/>
      <c r="H983" s="176"/>
      <c r="I983" s="177"/>
      <c r="J983" s="180"/>
      <c r="K983" s="180"/>
      <c r="M983" s="180"/>
      <c r="N983" s="177"/>
    </row>
    <row r="984" ht="15.75" customHeight="1">
      <c r="D984" s="180"/>
      <c r="H984" s="176"/>
      <c r="I984" s="177"/>
      <c r="J984" s="180"/>
      <c r="K984" s="180"/>
      <c r="M984" s="180"/>
      <c r="N984" s="177"/>
    </row>
    <row r="985" ht="15.75" customHeight="1">
      <c r="D985" s="180"/>
      <c r="H985" s="176"/>
      <c r="I985" s="177"/>
      <c r="J985" s="180"/>
      <c r="K985" s="180"/>
      <c r="M985" s="180"/>
      <c r="N985" s="177"/>
    </row>
    <row r="986" ht="15.75" customHeight="1">
      <c r="D986" s="180"/>
      <c r="H986" s="176"/>
      <c r="I986" s="177"/>
      <c r="J986" s="180"/>
      <c r="K986" s="180"/>
      <c r="M986" s="180"/>
      <c r="N986" s="177"/>
    </row>
    <row r="987" ht="15.75" customHeight="1">
      <c r="D987" s="180"/>
      <c r="H987" s="176"/>
      <c r="I987" s="177"/>
      <c r="J987" s="180"/>
      <c r="K987" s="180"/>
      <c r="M987" s="180"/>
      <c r="N987" s="177"/>
    </row>
    <row r="988" ht="15.75" customHeight="1">
      <c r="D988" s="180"/>
      <c r="H988" s="176"/>
      <c r="I988" s="177"/>
      <c r="J988" s="180"/>
      <c r="K988" s="180"/>
      <c r="M988" s="180"/>
      <c r="N988" s="177"/>
    </row>
    <row r="989" ht="15.75" customHeight="1">
      <c r="D989" s="180"/>
      <c r="H989" s="176"/>
      <c r="I989" s="177"/>
      <c r="J989" s="180"/>
      <c r="K989" s="180"/>
      <c r="M989" s="180"/>
      <c r="N989" s="177"/>
    </row>
    <row r="990" ht="15.75" customHeight="1">
      <c r="D990" s="180"/>
      <c r="H990" s="176"/>
      <c r="I990" s="177"/>
      <c r="J990" s="180"/>
      <c r="K990" s="180"/>
      <c r="M990" s="180"/>
      <c r="N990" s="177"/>
    </row>
    <row r="991" ht="15.75" customHeight="1">
      <c r="D991" s="180"/>
      <c r="H991" s="176"/>
      <c r="I991" s="177"/>
      <c r="J991" s="180"/>
      <c r="K991" s="180"/>
      <c r="M991" s="180"/>
      <c r="N991" s="177"/>
    </row>
    <row r="992" ht="15.75" customHeight="1">
      <c r="D992" s="180"/>
      <c r="H992" s="176"/>
      <c r="I992" s="177"/>
      <c r="J992" s="180"/>
      <c r="K992" s="180"/>
      <c r="M992" s="180"/>
      <c r="N992" s="177"/>
    </row>
    <row r="993" ht="15.75" customHeight="1">
      <c r="D993" s="180"/>
      <c r="H993" s="176"/>
      <c r="I993" s="177"/>
      <c r="J993" s="180"/>
      <c r="K993" s="180"/>
      <c r="M993" s="180"/>
      <c r="N993" s="177"/>
    </row>
    <row r="994" ht="15.75" customHeight="1">
      <c r="D994" s="180"/>
      <c r="H994" s="176"/>
      <c r="I994" s="177"/>
      <c r="J994" s="180"/>
      <c r="K994" s="180"/>
      <c r="M994" s="180"/>
      <c r="N994" s="177"/>
    </row>
    <row r="995" ht="15.75" customHeight="1">
      <c r="D995" s="180"/>
      <c r="H995" s="176"/>
      <c r="I995" s="177"/>
      <c r="J995" s="180"/>
      <c r="K995" s="180"/>
      <c r="M995" s="180"/>
      <c r="N995" s="177"/>
    </row>
    <row r="996" ht="15.75" customHeight="1">
      <c r="D996" s="180"/>
      <c r="H996" s="176"/>
      <c r="I996" s="177"/>
      <c r="J996" s="180"/>
      <c r="K996" s="180"/>
      <c r="M996" s="180"/>
      <c r="N996" s="177"/>
    </row>
    <row r="997" ht="15.75" customHeight="1">
      <c r="D997" s="180"/>
      <c r="H997" s="176"/>
      <c r="I997" s="177"/>
      <c r="J997" s="180"/>
      <c r="K997" s="180"/>
      <c r="M997" s="180"/>
      <c r="N997" s="177"/>
    </row>
    <row r="998" ht="15.75" customHeight="1">
      <c r="D998" s="180"/>
      <c r="H998" s="176"/>
      <c r="I998" s="177"/>
      <c r="J998" s="180"/>
      <c r="K998" s="180"/>
      <c r="M998" s="180"/>
      <c r="N998" s="177"/>
    </row>
    <row r="999" ht="15.75" customHeight="1">
      <c r="D999" s="180"/>
      <c r="H999" s="176"/>
      <c r="I999" s="177"/>
      <c r="J999" s="180"/>
      <c r="K999" s="180"/>
      <c r="M999" s="180"/>
      <c r="N999" s="177"/>
    </row>
    <row r="1000" ht="15.75" customHeight="1">
      <c r="D1000" s="180"/>
      <c r="H1000" s="176"/>
      <c r="I1000" s="177"/>
      <c r="J1000" s="180"/>
      <c r="K1000" s="180"/>
      <c r="M1000" s="180"/>
      <c r="N1000" s="177"/>
    </row>
    <row r="1001" ht="15.75" customHeight="1">
      <c r="H1001" s="176"/>
      <c r="I1001" s="177"/>
      <c r="J1001" s="180"/>
      <c r="K1001" s="180"/>
      <c r="M1001" s="180"/>
      <c r="N1001" s="177"/>
    </row>
    <row r="1002" ht="15.75" customHeight="1">
      <c r="H1002" s="176"/>
      <c r="I1002" s="177"/>
      <c r="J1002" s="180"/>
      <c r="K1002" s="180"/>
      <c r="M1002" s="180"/>
      <c r="N1002" s="177"/>
    </row>
  </sheetData>
  <mergeCells count="1">
    <mergeCell ref="M1:M3"/>
  </mergeCells>
  <hyperlinks>
    <hyperlink r:id="rId1" ref="G1"/>
  </hyperlinks>
  <printOptions/>
  <pageMargins bottom="0.75" footer="0.0" header="0.0" left="0.7" right="0.7" top="0.75"/>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29"/>
    <col customWidth="1" min="2" max="2" width="1.14"/>
    <col customWidth="1" min="3" max="3" width="24.14"/>
    <col customWidth="1" min="4" max="4" width="1.14"/>
    <col customWidth="1" min="5" max="5" width="27.14"/>
    <col customWidth="1" min="6" max="6" width="1.14"/>
    <col customWidth="1" min="7" max="7" width="7.43"/>
    <col customWidth="1" min="8" max="8" width="1.14"/>
    <col customWidth="1" min="9" max="9" width="17.71"/>
    <col customWidth="1" min="15" max="15" width="48.29"/>
  </cols>
  <sheetData>
    <row r="1">
      <c r="B1" s="19"/>
      <c r="C1" s="19" t="s">
        <v>1051</v>
      </c>
      <c r="D1" s="19"/>
      <c r="E1" s="19" t="s">
        <v>1052</v>
      </c>
      <c r="F1" s="19"/>
      <c r="G1" s="19" t="s">
        <v>1053</v>
      </c>
      <c r="H1" s="19"/>
      <c r="I1" s="19" t="s">
        <v>1054</v>
      </c>
    </row>
    <row r="2">
      <c r="A2" s="19" t="s">
        <v>1055</v>
      </c>
      <c r="B2" s="50"/>
      <c r="C2" s="50">
        <f>COUNTa(C3:C42)</f>
        <v>24</v>
      </c>
      <c r="D2" s="50"/>
      <c r="E2" s="50">
        <f>COUNTa(E3:E42)</f>
        <v>7</v>
      </c>
      <c r="F2" s="50"/>
      <c r="G2" s="50">
        <f>COUNTIF(G3:G35,"X")</f>
        <v>0</v>
      </c>
      <c r="H2" s="50"/>
      <c r="I2" s="50">
        <f>E2+G2</f>
        <v>7</v>
      </c>
    </row>
    <row r="3">
      <c r="A3" s="187" t="s">
        <v>1056</v>
      </c>
      <c r="E3" s="188" t="s">
        <v>1057</v>
      </c>
      <c r="G3" s="189" t="str">
        <f>if(COUNTA(C3:E3)=0,"X","")</f>
        <v/>
      </c>
    </row>
    <row r="4">
      <c r="A4" s="187" t="s">
        <v>1058</v>
      </c>
      <c r="G4" s="189" t="s">
        <v>1059</v>
      </c>
    </row>
    <row r="5">
      <c r="A5" s="187" t="s">
        <v>1060</v>
      </c>
      <c r="C5" s="19"/>
      <c r="E5" s="188" t="s">
        <v>1061</v>
      </c>
      <c r="G5" s="189" t="str">
        <f t="shared" ref="G5:G12" si="1">if(COUNTA(C5:E5)=0,"X","")</f>
        <v/>
      </c>
    </row>
    <row r="6">
      <c r="A6" s="187" t="s">
        <v>1062</v>
      </c>
      <c r="C6" s="19" t="s">
        <v>1063</v>
      </c>
      <c r="G6" s="189" t="str">
        <f t="shared" si="1"/>
        <v/>
      </c>
    </row>
    <row r="7">
      <c r="A7" s="187" t="s">
        <v>1064</v>
      </c>
      <c r="C7" s="19" t="s">
        <v>84</v>
      </c>
      <c r="G7" s="189" t="str">
        <f t="shared" si="1"/>
        <v/>
      </c>
    </row>
    <row r="8">
      <c r="A8" s="187" t="s">
        <v>1065</v>
      </c>
      <c r="C8" s="19" t="s">
        <v>113</v>
      </c>
      <c r="G8" s="189" t="str">
        <f t="shared" si="1"/>
        <v/>
      </c>
    </row>
    <row r="9">
      <c r="A9" s="187" t="s">
        <v>1066</v>
      </c>
      <c r="C9" s="19" t="s">
        <v>1067</v>
      </c>
      <c r="G9" s="189" t="str">
        <f t="shared" si="1"/>
        <v/>
      </c>
    </row>
    <row r="10">
      <c r="A10" s="187" t="s">
        <v>1068</v>
      </c>
      <c r="C10" s="19" t="s">
        <v>134</v>
      </c>
      <c r="G10" s="189" t="str">
        <f t="shared" si="1"/>
        <v/>
      </c>
    </row>
    <row r="11">
      <c r="A11" s="187" t="s">
        <v>1069</v>
      </c>
      <c r="C11" s="19" t="s">
        <v>1070</v>
      </c>
      <c r="G11" s="189" t="str">
        <f t="shared" si="1"/>
        <v/>
      </c>
    </row>
    <row r="12">
      <c r="A12" s="187" t="s">
        <v>1071</v>
      </c>
      <c r="C12" s="19" t="s">
        <v>176</v>
      </c>
      <c r="G12" s="189" t="str">
        <f t="shared" si="1"/>
        <v/>
      </c>
    </row>
    <row r="13">
      <c r="A13" s="187" t="s">
        <v>1072</v>
      </c>
      <c r="C13" s="19" t="s">
        <v>1073</v>
      </c>
      <c r="G13" s="190" t="s">
        <v>1074</v>
      </c>
    </row>
    <row r="14">
      <c r="A14" s="187" t="s">
        <v>1075</v>
      </c>
      <c r="C14" s="19" t="s">
        <v>38</v>
      </c>
      <c r="G14" s="189" t="str">
        <f t="shared" ref="G14:G15" si="2">if(COUNTA(C14:E14)=0,"X","")</f>
        <v/>
      </c>
    </row>
    <row r="15">
      <c r="A15" s="187" t="s">
        <v>1076</v>
      </c>
      <c r="C15" s="19" t="s">
        <v>86</v>
      </c>
      <c r="G15" s="189" t="str">
        <f t="shared" si="2"/>
        <v/>
      </c>
    </row>
    <row r="16">
      <c r="A16" s="187" t="s">
        <v>1077</v>
      </c>
      <c r="G16" s="189" t="s">
        <v>185</v>
      </c>
    </row>
    <row r="17">
      <c r="A17" s="187" t="s">
        <v>1078</v>
      </c>
      <c r="C17" s="19" t="s">
        <v>1079</v>
      </c>
      <c r="G17" s="189" t="str">
        <f>if(COUNTA(C17:E17)=0,"X","")</f>
        <v/>
      </c>
    </row>
    <row r="18">
      <c r="A18" s="187" t="s">
        <v>1080</v>
      </c>
      <c r="E18" s="191" t="s">
        <v>1081</v>
      </c>
      <c r="G18" s="189"/>
    </row>
    <row r="19">
      <c r="A19" s="187" t="s">
        <v>1082</v>
      </c>
      <c r="C19" s="19" t="s">
        <v>1083</v>
      </c>
      <c r="G19" s="189" t="str">
        <f>if(COUNTA(C19:E19)=0,"X","")</f>
        <v/>
      </c>
    </row>
    <row r="20">
      <c r="A20" s="187" t="s">
        <v>1084</v>
      </c>
      <c r="C20" s="19" t="s">
        <v>1085</v>
      </c>
      <c r="G20" s="189"/>
    </row>
    <row r="21">
      <c r="A21" s="187" t="s">
        <v>1086</v>
      </c>
      <c r="C21" s="19" t="s">
        <v>3</v>
      </c>
      <c r="G21" s="189" t="str">
        <f t="shared" ref="G21:G29" si="3">if(COUNTA(C21:E21)=0,"X","")</f>
        <v/>
      </c>
    </row>
    <row r="22">
      <c r="A22" s="187" t="s">
        <v>1087</v>
      </c>
      <c r="C22" s="19" t="s">
        <v>112</v>
      </c>
      <c r="G22" s="189" t="str">
        <f t="shared" si="3"/>
        <v/>
      </c>
    </row>
    <row r="23">
      <c r="A23" s="187" t="s">
        <v>1088</v>
      </c>
      <c r="C23" s="19" t="s">
        <v>67</v>
      </c>
      <c r="G23" s="189" t="str">
        <f t="shared" si="3"/>
        <v/>
      </c>
    </row>
    <row r="24">
      <c r="A24" s="187" t="s">
        <v>1089</v>
      </c>
      <c r="C24" s="19" t="s">
        <v>1090</v>
      </c>
      <c r="G24" s="189" t="str">
        <f t="shared" si="3"/>
        <v/>
      </c>
    </row>
    <row r="25">
      <c r="A25" s="187" t="s">
        <v>1091</v>
      </c>
      <c r="E25" s="192" t="s">
        <v>1092</v>
      </c>
      <c r="G25" s="189" t="str">
        <f t="shared" si="3"/>
        <v/>
      </c>
      <c r="I25" s="193" t="s">
        <v>1093</v>
      </c>
    </row>
    <row r="26">
      <c r="A26" s="187" t="s">
        <v>1094</v>
      </c>
      <c r="C26" s="19" t="s">
        <v>172</v>
      </c>
      <c r="G26" s="189" t="str">
        <f t="shared" si="3"/>
        <v/>
      </c>
    </row>
    <row r="27">
      <c r="A27" s="187" t="s">
        <v>1095</v>
      </c>
      <c r="C27" s="19" t="s">
        <v>1096</v>
      </c>
      <c r="G27" s="189" t="str">
        <f t="shared" si="3"/>
        <v/>
      </c>
    </row>
    <row r="28">
      <c r="A28" s="187" t="s">
        <v>1097</v>
      </c>
      <c r="C28" s="19" t="s">
        <v>1098</v>
      </c>
      <c r="G28" s="189" t="str">
        <f t="shared" si="3"/>
        <v/>
      </c>
    </row>
    <row r="29">
      <c r="A29" s="187" t="s">
        <v>1099</v>
      </c>
      <c r="C29" s="19" t="s">
        <v>1100</v>
      </c>
      <c r="G29" s="189" t="str">
        <f t="shared" si="3"/>
        <v/>
      </c>
    </row>
    <row r="30">
      <c r="A30" s="187" t="s">
        <v>1101</v>
      </c>
      <c r="E30" s="194" t="s">
        <v>1102</v>
      </c>
      <c r="G30" s="189"/>
    </row>
    <row r="31">
      <c r="A31" s="187" t="s">
        <v>1103</v>
      </c>
      <c r="C31" s="19" t="s">
        <v>107</v>
      </c>
      <c r="G31" s="189" t="str">
        <f t="shared" ref="G31:G35" si="4">if(COUNTA(C31:E31)=0,"X","")</f>
        <v/>
      </c>
    </row>
    <row r="32">
      <c r="A32" s="187" t="s">
        <v>1104</v>
      </c>
      <c r="E32" s="188" t="s">
        <v>1105</v>
      </c>
      <c r="G32" s="189" t="str">
        <f t="shared" si="4"/>
        <v/>
      </c>
    </row>
    <row r="33">
      <c r="A33" s="187" t="s">
        <v>1106</v>
      </c>
      <c r="E33" s="195" t="s">
        <v>1107</v>
      </c>
      <c r="G33" s="189" t="str">
        <f t="shared" si="4"/>
        <v/>
      </c>
    </row>
    <row r="34">
      <c r="A34" s="187" t="s">
        <v>1108</v>
      </c>
      <c r="C34" s="19" t="s">
        <v>1</v>
      </c>
      <c r="G34" s="189" t="str">
        <f t="shared" si="4"/>
        <v/>
      </c>
    </row>
    <row r="35">
      <c r="A35" s="187" t="s">
        <v>1109</v>
      </c>
      <c r="C35" s="19" t="s">
        <v>1110</v>
      </c>
      <c r="G35" s="189" t="str">
        <f t="shared" si="4"/>
        <v/>
      </c>
    </row>
    <row r="38">
      <c r="C38" s="196"/>
    </row>
    <row r="44">
      <c r="A44" s="19" t="s">
        <v>1111</v>
      </c>
    </row>
    <row r="45">
      <c r="A45" s="50">
        <f>COUNTa(A3:A41)</f>
        <v>33</v>
      </c>
    </row>
  </sheetData>
  <hyperlinks>
    <hyperlink r:id="rId1" ref="G13"/>
    <hyperlink r:id="rId2" ref="I25"/>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 customWidth="1" min="2" max="2" width="31.86"/>
    <col customWidth="1" min="3" max="3" width="5.57"/>
    <col customWidth="1" min="4" max="4" width="7.0"/>
    <col customWidth="1" min="5" max="5" width="5.57"/>
    <col customWidth="1" min="6" max="6" width="2.71"/>
    <col customWidth="1" min="7" max="7" width="5.57"/>
    <col customWidth="1" min="8" max="8" width="7.0"/>
    <col customWidth="1" min="9" max="9" width="2.71"/>
    <col customWidth="1" min="10" max="10" width="9.29"/>
    <col customWidth="1" min="11" max="11" width="5.57"/>
    <col customWidth="1" min="12" max="12" width="7.0"/>
    <col customWidth="1" min="13" max="13" width="3.14"/>
    <col customWidth="1" min="14" max="14" width="40.29"/>
    <col customWidth="1" min="15" max="15" width="4.43"/>
  </cols>
  <sheetData>
    <row r="1" ht="15.75" customHeight="1">
      <c r="A1" s="197" t="s">
        <v>161</v>
      </c>
      <c r="B1" s="198" t="s">
        <v>1112</v>
      </c>
      <c r="C1" s="199" t="s">
        <v>168</v>
      </c>
      <c r="D1" s="198" t="s">
        <v>1113</v>
      </c>
      <c r="E1" s="200" t="s">
        <v>162</v>
      </c>
      <c r="F1" s="201"/>
      <c r="G1" s="197"/>
      <c r="H1" s="198"/>
      <c r="I1" s="201"/>
      <c r="J1" s="197" t="s">
        <v>161</v>
      </c>
      <c r="K1" s="198" t="s">
        <v>168</v>
      </c>
      <c r="L1" s="197" t="s">
        <v>1113</v>
      </c>
      <c r="N1" s="202" t="s">
        <v>1114</v>
      </c>
    </row>
    <row r="2">
      <c r="A2" s="203">
        <v>45055.0</v>
      </c>
      <c r="B2" s="204" t="s">
        <v>38</v>
      </c>
      <c r="C2" s="205">
        <v>2.0</v>
      </c>
      <c r="D2" s="206">
        <v>6.0</v>
      </c>
      <c r="E2" s="207"/>
      <c r="G2" s="208"/>
      <c r="H2" s="209"/>
      <c r="J2" s="210"/>
      <c r="K2" s="211"/>
      <c r="L2" s="212"/>
      <c r="N2" s="213" t="str">
        <f>Score!Z9</f>
        <v>All</v>
      </c>
    </row>
    <row r="3">
      <c r="A3" s="203">
        <v>45055.0</v>
      </c>
      <c r="B3" s="214" t="s">
        <v>115</v>
      </c>
      <c r="C3" s="215">
        <v>3.0</v>
      </c>
      <c r="D3" s="214">
        <v>8.0</v>
      </c>
      <c r="E3" s="216"/>
      <c r="G3" s="217"/>
      <c r="H3" s="218"/>
      <c r="J3" s="210"/>
      <c r="K3" s="211"/>
      <c r="L3" s="209"/>
    </row>
    <row r="4">
      <c r="A4" s="203">
        <v>45055.0</v>
      </c>
      <c r="B4" s="204" t="s">
        <v>107</v>
      </c>
      <c r="C4" s="215">
        <v>7.0</v>
      </c>
      <c r="D4" s="214">
        <v>16.0</v>
      </c>
      <c r="E4" s="216"/>
      <c r="G4" s="217"/>
      <c r="H4" s="218"/>
      <c r="J4" s="210"/>
      <c r="K4" s="211"/>
      <c r="L4" s="212"/>
      <c r="N4" s="202" t="str">
        <f t="array" ref="N4:N31">UNIQUE(B:B)</f>
        <v>Deck Names</v>
      </c>
    </row>
    <row r="5">
      <c r="A5" s="203">
        <v>45055.0</v>
      </c>
      <c r="B5" s="204" t="s">
        <v>85</v>
      </c>
      <c r="C5" s="215">
        <v>2.0</v>
      </c>
      <c r="D5" s="214">
        <v>4.0</v>
      </c>
      <c r="E5" s="216"/>
      <c r="G5" s="217"/>
      <c r="H5" s="218"/>
      <c r="J5" s="210"/>
      <c r="K5" s="211"/>
      <c r="L5" s="212"/>
      <c r="N5" s="219" t="s">
        <v>38</v>
      </c>
    </row>
    <row r="6">
      <c r="A6" s="203">
        <v>45055.0</v>
      </c>
      <c r="B6" s="204" t="s">
        <v>177</v>
      </c>
      <c r="C6" s="215">
        <v>4.0</v>
      </c>
      <c r="D6" s="214">
        <v>8.0</v>
      </c>
      <c r="E6" s="216"/>
      <c r="G6" s="217"/>
      <c r="H6" s="218"/>
      <c r="J6" s="210"/>
      <c r="K6" s="211"/>
      <c r="L6" s="212"/>
      <c r="N6" s="219" t="s">
        <v>115</v>
      </c>
    </row>
    <row r="7">
      <c r="A7" s="203">
        <v>45055.0</v>
      </c>
      <c r="B7" s="204" t="s">
        <v>1</v>
      </c>
      <c r="C7" s="215">
        <v>10.0</v>
      </c>
      <c r="D7" s="214">
        <v>15.0</v>
      </c>
      <c r="E7" s="216"/>
      <c r="G7" s="217"/>
      <c r="H7" s="218"/>
      <c r="J7" s="210"/>
      <c r="K7" s="211"/>
      <c r="L7" s="212"/>
      <c r="N7" s="219" t="s">
        <v>107</v>
      </c>
    </row>
    <row r="8">
      <c r="A8" s="203">
        <v>45055.0</v>
      </c>
      <c r="B8" s="204" t="s">
        <v>67</v>
      </c>
      <c r="C8" s="205">
        <v>12.0</v>
      </c>
      <c r="D8" s="206">
        <v>18.0</v>
      </c>
      <c r="E8" s="207"/>
      <c r="G8" s="220"/>
      <c r="H8" s="221"/>
      <c r="J8" s="210"/>
      <c r="K8" s="211"/>
      <c r="L8" s="212"/>
      <c r="N8" s="219" t="s">
        <v>85</v>
      </c>
    </row>
    <row r="9">
      <c r="A9" s="203">
        <v>45055.0</v>
      </c>
      <c r="B9" s="204" t="s">
        <v>165</v>
      </c>
      <c r="C9" s="205">
        <v>13.0</v>
      </c>
      <c r="D9" s="214">
        <v>18.0</v>
      </c>
      <c r="E9" s="207"/>
      <c r="G9" s="220"/>
      <c r="H9" s="218"/>
      <c r="J9" s="210"/>
      <c r="K9" s="211"/>
      <c r="L9" s="212"/>
      <c r="N9" s="219" t="s">
        <v>177</v>
      </c>
    </row>
    <row r="10">
      <c r="A10" s="203">
        <v>45055.0</v>
      </c>
      <c r="B10" s="214" t="s">
        <v>175</v>
      </c>
      <c r="C10" s="205">
        <v>8.0</v>
      </c>
      <c r="D10" s="214">
        <v>11.0</v>
      </c>
      <c r="E10" s="207"/>
      <c r="G10" s="220"/>
      <c r="H10" s="218"/>
      <c r="J10" s="210"/>
      <c r="K10" s="211"/>
      <c r="L10" s="212"/>
      <c r="N10" s="219" t="s">
        <v>1</v>
      </c>
    </row>
    <row r="11">
      <c r="A11" s="203">
        <v>45055.0</v>
      </c>
      <c r="B11" s="204" t="s">
        <v>3</v>
      </c>
      <c r="C11" s="205">
        <v>9.0</v>
      </c>
      <c r="D11" s="214">
        <v>12.0</v>
      </c>
      <c r="E11" s="207"/>
      <c r="G11" s="220"/>
      <c r="H11" s="218"/>
      <c r="J11" s="210"/>
      <c r="K11" s="211"/>
      <c r="L11" s="212"/>
      <c r="N11" s="219" t="s">
        <v>67</v>
      </c>
    </row>
    <row r="12">
      <c r="A12" s="203">
        <v>45055.0</v>
      </c>
      <c r="B12" s="204" t="s">
        <v>172</v>
      </c>
      <c r="C12" s="205">
        <v>10.0</v>
      </c>
      <c r="D12" s="206">
        <v>12.0</v>
      </c>
      <c r="E12" s="207"/>
      <c r="G12" s="220"/>
      <c r="H12" s="221"/>
      <c r="J12" s="210"/>
      <c r="K12" s="211"/>
      <c r="L12" s="212"/>
      <c r="N12" s="219" t="s">
        <v>165</v>
      </c>
    </row>
    <row r="13">
      <c r="A13" s="203">
        <v>45055.0</v>
      </c>
      <c r="B13" s="214" t="s">
        <v>178</v>
      </c>
      <c r="C13" s="205">
        <v>6.0</v>
      </c>
      <c r="D13" s="214">
        <v>6.0</v>
      </c>
      <c r="E13" s="207"/>
      <c r="G13" s="220"/>
      <c r="H13" s="218"/>
      <c r="J13" s="210"/>
      <c r="K13" s="211"/>
      <c r="L13" s="212"/>
      <c r="N13" s="219" t="s">
        <v>175</v>
      </c>
    </row>
    <row r="14">
      <c r="A14" s="203">
        <v>45055.0</v>
      </c>
      <c r="B14" s="214" t="s">
        <v>179</v>
      </c>
      <c r="C14" s="215">
        <v>9.0</v>
      </c>
      <c r="D14" s="214">
        <v>6.0</v>
      </c>
      <c r="E14" s="216"/>
      <c r="G14" s="217"/>
      <c r="H14" s="218"/>
      <c r="J14" s="210"/>
      <c r="K14" s="211"/>
      <c r="L14" s="212"/>
      <c r="N14" s="219" t="s">
        <v>3</v>
      </c>
    </row>
    <row r="15">
      <c r="A15" s="203">
        <v>45055.0</v>
      </c>
      <c r="B15" s="204" t="s">
        <v>113</v>
      </c>
      <c r="C15" s="205">
        <v>9.0</v>
      </c>
      <c r="D15" s="206">
        <v>6.0</v>
      </c>
      <c r="E15" s="207"/>
      <c r="G15" s="220"/>
      <c r="H15" s="221"/>
      <c r="J15" s="210"/>
      <c r="K15" s="211"/>
      <c r="L15" s="212"/>
      <c r="N15" s="219" t="s">
        <v>172</v>
      </c>
    </row>
    <row r="16">
      <c r="A16" s="203">
        <v>45055.0</v>
      </c>
      <c r="B16" s="214" t="s">
        <v>39</v>
      </c>
      <c r="C16" s="205">
        <v>5.0</v>
      </c>
      <c r="D16" s="206">
        <v>3.0</v>
      </c>
      <c r="E16" s="207"/>
      <c r="G16" s="220"/>
      <c r="H16" s="221"/>
      <c r="J16" s="210"/>
      <c r="K16" s="211"/>
      <c r="L16" s="212"/>
      <c r="N16" s="219" t="s">
        <v>178</v>
      </c>
    </row>
    <row r="17">
      <c r="A17" s="203">
        <v>45055.0</v>
      </c>
      <c r="B17" s="204" t="s">
        <v>84</v>
      </c>
      <c r="C17" s="205">
        <v>10.0</v>
      </c>
      <c r="D17" s="206">
        <v>6.0</v>
      </c>
      <c r="E17" s="207"/>
      <c r="G17" s="220"/>
      <c r="H17" s="221"/>
      <c r="J17" s="210"/>
      <c r="K17" s="211"/>
      <c r="L17" s="212"/>
      <c r="N17" s="219" t="s">
        <v>179</v>
      </c>
    </row>
    <row r="18">
      <c r="A18" s="203">
        <v>45055.0</v>
      </c>
      <c r="B18" s="204" t="s">
        <v>176</v>
      </c>
      <c r="C18" s="205">
        <v>9.0</v>
      </c>
      <c r="D18" s="206">
        <v>5.0</v>
      </c>
      <c r="E18" s="207"/>
      <c r="G18" s="220"/>
      <c r="H18" s="221"/>
      <c r="J18" s="210"/>
      <c r="K18" s="211"/>
      <c r="L18" s="212"/>
      <c r="N18" s="219" t="s">
        <v>113</v>
      </c>
    </row>
    <row r="19">
      <c r="A19" s="203">
        <v>45055.0</v>
      </c>
      <c r="B19" s="214" t="s">
        <v>1115</v>
      </c>
      <c r="C19" s="205">
        <v>2.0</v>
      </c>
      <c r="D19" s="206">
        <v>1.0</v>
      </c>
      <c r="E19" s="207"/>
      <c r="G19" s="220"/>
      <c r="H19" s="221"/>
      <c r="J19" s="210"/>
      <c r="K19" s="211"/>
      <c r="L19" s="212"/>
      <c r="N19" s="219" t="s">
        <v>39</v>
      </c>
    </row>
    <row r="20">
      <c r="A20" s="203">
        <v>45055.0</v>
      </c>
      <c r="B20" s="204" t="s">
        <v>106</v>
      </c>
      <c r="C20" s="205">
        <v>6.0</v>
      </c>
      <c r="D20" s="206">
        <v>3.0</v>
      </c>
      <c r="E20" s="207"/>
      <c r="G20" s="220"/>
      <c r="H20" s="221"/>
      <c r="J20" s="210"/>
      <c r="K20" s="211"/>
      <c r="L20" s="212"/>
      <c r="N20" s="219" t="s">
        <v>84</v>
      </c>
    </row>
    <row r="21">
      <c r="A21" s="203">
        <v>45055.0</v>
      </c>
      <c r="B21" s="204" t="s">
        <v>64</v>
      </c>
      <c r="C21" s="205">
        <v>10.0</v>
      </c>
      <c r="D21" s="206">
        <v>5.0</v>
      </c>
      <c r="E21" s="207"/>
      <c r="G21" s="220"/>
      <c r="H21" s="221"/>
      <c r="J21" s="210"/>
      <c r="K21" s="211"/>
      <c r="L21" s="212"/>
      <c r="N21" s="219" t="s">
        <v>176</v>
      </c>
    </row>
    <row r="22">
      <c r="A22" s="203">
        <v>45055.0</v>
      </c>
      <c r="B22" s="214" t="s">
        <v>181</v>
      </c>
      <c r="C22" s="205">
        <v>9.0</v>
      </c>
      <c r="D22" s="206">
        <v>4.0</v>
      </c>
      <c r="E22" s="207"/>
      <c r="G22" s="220"/>
      <c r="H22" s="221"/>
      <c r="J22" s="210"/>
      <c r="K22" s="211"/>
      <c r="L22" s="212"/>
      <c r="N22" s="219" t="s">
        <v>1115</v>
      </c>
    </row>
    <row r="23">
      <c r="A23" s="203">
        <v>45055.0</v>
      </c>
      <c r="B23" s="214" t="s">
        <v>180</v>
      </c>
      <c r="C23" s="205">
        <v>10.0</v>
      </c>
      <c r="D23" s="206">
        <v>4.0</v>
      </c>
      <c r="E23" s="207"/>
      <c r="G23" s="220"/>
      <c r="H23" s="221"/>
      <c r="J23" s="210"/>
      <c r="K23" s="211"/>
      <c r="L23" s="212"/>
      <c r="N23" s="219" t="s">
        <v>106</v>
      </c>
    </row>
    <row r="24">
      <c r="A24" s="203">
        <v>45055.0</v>
      </c>
      <c r="B24" s="204" t="s">
        <v>186</v>
      </c>
      <c r="C24" s="205">
        <v>11.0</v>
      </c>
      <c r="D24" s="206">
        <v>4.0</v>
      </c>
      <c r="E24" s="207"/>
      <c r="G24" s="220"/>
      <c r="H24" s="221"/>
      <c r="J24" s="210"/>
      <c r="K24" s="211"/>
      <c r="L24" s="212"/>
      <c r="N24" s="219" t="s">
        <v>64</v>
      </c>
    </row>
    <row r="25">
      <c r="A25" s="203">
        <v>45055.0</v>
      </c>
      <c r="B25" s="204" t="s">
        <v>134</v>
      </c>
      <c r="C25" s="205">
        <v>11.0</v>
      </c>
      <c r="D25" s="206">
        <v>3.0</v>
      </c>
      <c r="E25" s="207"/>
      <c r="G25" s="222">
        <v>189.0</v>
      </c>
      <c r="H25" s="223">
        <v>186.0</v>
      </c>
      <c r="J25" s="224">
        <f>IFERROR(__xludf.DUMMYFUNCTION("IF($N$2=""All"", FILTER($A:$A, LEN($G:$G)&gt;0), FILTER($A:$A, ISNUMBER(SEARCH($N$2, $B:$B))))
"),45055.0)</f>
        <v>45055</v>
      </c>
      <c r="K25" s="225">
        <f>IFERROR(__xludf.DUMMYFUNCTION("IF($N$2=""All"", FILTER($G:$G, LEN($G:$G)&gt;0), FILTER($C:$C, ISNUMBER(SEARCH($N$2, $B:$B))))
"),189.0)</f>
        <v>189</v>
      </c>
      <c r="L25" s="226">
        <f>IFERROR(__xludf.DUMMYFUNCTION("IF($N$2=""All"", FILTER($H:$H, LEN($G:$G)&gt;0), FILTER($D:$D, ISNUMBER(SEARCH($N$2, $B:$B))))
"),186.0)</f>
        <v>186</v>
      </c>
      <c r="N25" s="219" t="s">
        <v>181</v>
      </c>
    </row>
    <row r="26">
      <c r="A26" s="203">
        <v>45059.0</v>
      </c>
      <c r="B26" s="204" t="s">
        <v>38</v>
      </c>
      <c r="C26" s="227">
        <v>3.0</v>
      </c>
      <c r="D26" s="223">
        <v>6.0</v>
      </c>
      <c r="E26" s="228" t="s">
        <v>157</v>
      </c>
      <c r="G26" s="222">
        <v>190.0</v>
      </c>
      <c r="H26" s="223">
        <v>186.0</v>
      </c>
      <c r="J26" s="224">
        <f>IFERROR(__xludf.DUMMYFUNCTION("""COMPUTED_VALUE"""),45059.0)</f>
        <v>45059</v>
      </c>
      <c r="K26" s="225">
        <f>IFERROR(__xludf.DUMMYFUNCTION("""COMPUTED_VALUE"""),190.0)</f>
        <v>190</v>
      </c>
      <c r="L26" s="226">
        <f>IFERROR(__xludf.DUMMYFUNCTION("""COMPUTED_VALUE"""),186.0)</f>
        <v>186</v>
      </c>
      <c r="N26" s="219" t="s">
        <v>180</v>
      </c>
    </row>
    <row r="27">
      <c r="A27" s="203">
        <v>45059.0</v>
      </c>
      <c r="B27" s="204" t="s">
        <v>175</v>
      </c>
      <c r="C27" s="227">
        <v>9.0</v>
      </c>
      <c r="D27" s="223">
        <v>11.0</v>
      </c>
      <c r="E27" s="228" t="s">
        <v>157</v>
      </c>
      <c r="G27" s="222">
        <v>191.0</v>
      </c>
      <c r="H27" s="223">
        <v>186.0</v>
      </c>
      <c r="J27" s="224">
        <f>IFERROR(__xludf.DUMMYFUNCTION("""COMPUTED_VALUE"""),45059.0)</f>
        <v>45059</v>
      </c>
      <c r="K27" s="225">
        <f>IFERROR(__xludf.DUMMYFUNCTION("""COMPUTED_VALUE"""),191.0)</f>
        <v>191</v>
      </c>
      <c r="L27" s="226">
        <f>IFERROR(__xludf.DUMMYFUNCTION("""COMPUTED_VALUE"""),186.0)</f>
        <v>186</v>
      </c>
      <c r="N27" s="219" t="s">
        <v>186</v>
      </c>
    </row>
    <row r="28">
      <c r="A28" s="203">
        <v>45059.0</v>
      </c>
      <c r="B28" s="204" t="s">
        <v>177</v>
      </c>
      <c r="C28" s="227">
        <v>4.0</v>
      </c>
      <c r="D28" s="223">
        <v>9.0</v>
      </c>
      <c r="E28" s="228" t="s">
        <v>158</v>
      </c>
      <c r="G28" s="222">
        <v>191.0</v>
      </c>
      <c r="H28" s="223">
        <v>187.0</v>
      </c>
      <c r="J28" s="224">
        <f>IFERROR(__xludf.DUMMYFUNCTION("""COMPUTED_VALUE"""),45059.0)</f>
        <v>45059</v>
      </c>
      <c r="K28" s="225">
        <f>IFERROR(__xludf.DUMMYFUNCTION("""COMPUTED_VALUE"""),191.0)</f>
        <v>191</v>
      </c>
      <c r="L28" s="226">
        <f>IFERROR(__xludf.DUMMYFUNCTION("""COMPUTED_VALUE"""),187.0)</f>
        <v>187</v>
      </c>
      <c r="N28" s="219" t="s">
        <v>134</v>
      </c>
    </row>
    <row r="29">
      <c r="A29" s="203">
        <v>45059.0</v>
      </c>
      <c r="B29" s="204" t="s">
        <v>178</v>
      </c>
      <c r="C29" s="227">
        <v>7.0</v>
      </c>
      <c r="D29" s="223">
        <v>6.0</v>
      </c>
      <c r="E29" s="228" t="s">
        <v>157</v>
      </c>
      <c r="G29" s="222">
        <v>192.0</v>
      </c>
      <c r="H29" s="223">
        <v>187.0</v>
      </c>
      <c r="J29" s="224">
        <f>IFERROR(__xludf.DUMMYFUNCTION("""COMPUTED_VALUE"""),45059.0)</f>
        <v>45059</v>
      </c>
      <c r="K29" s="225">
        <f>IFERROR(__xludf.DUMMYFUNCTION("""COMPUTED_VALUE"""),192.0)</f>
        <v>192</v>
      </c>
      <c r="L29" s="226">
        <f>IFERROR(__xludf.DUMMYFUNCTION("""COMPUTED_VALUE"""),187.0)</f>
        <v>187</v>
      </c>
      <c r="N29" s="219" t="s">
        <v>2</v>
      </c>
    </row>
    <row r="30">
      <c r="A30" s="203">
        <v>45059.0</v>
      </c>
      <c r="B30" s="204" t="s">
        <v>115</v>
      </c>
      <c r="C30" s="227">
        <v>4.0</v>
      </c>
      <c r="D30" s="223">
        <v>8.0</v>
      </c>
      <c r="E30" s="228" t="s">
        <v>157</v>
      </c>
      <c r="G30" s="222">
        <v>193.0</v>
      </c>
      <c r="H30" s="223">
        <v>187.0</v>
      </c>
      <c r="J30" s="224">
        <f>IFERROR(__xludf.DUMMYFUNCTION("""COMPUTED_VALUE"""),45059.0)</f>
        <v>45059</v>
      </c>
      <c r="K30" s="225">
        <f>IFERROR(__xludf.DUMMYFUNCTION("""COMPUTED_VALUE"""),193.0)</f>
        <v>193</v>
      </c>
      <c r="L30" s="226">
        <f>IFERROR(__xludf.DUMMYFUNCTION("""COMPUTED_VALUE"""),187.0)</f>
        <v>187</v>
      </c>
      <c r="N30" s="219" t="s">
        <v>114</v>
      </c>
    </row>
    <row r="31">
      <c r="A31" s="203">
        <v>45065.0</v>
      </c>
      <c r="B31" s="204" t="s">
        <v>107</v>
      </c>
      <c r="C31" s="227">
        <v>7.0</v>
      </c>
      <c r="D31" s="223">
        <v>17.0</v>
      </c>
      <c r="E31" s="228" t="s">
        <v>158</v>
      </c>
      <c r="G31" s="222">
        <v>193.0</v>
      </c>
      <c r="H31" s="223">
        <v>188.0</v>
      </c>
      <c r="J31" s="224">
        <f>IFERROR(__xludf.DUMMYFUNCTION("""COMPUTED_VALUE"""),45065.0)</f>
        <v>45065</v>
      </c>
      <c r="K31" s="225">
        <f>IFERROR(__xludf.DUMMYFUNCTION("""COMPUTED_VALUE"""),193.0)</f>
        <v>193</v>
      </c>
      <c r="L31" s="226">
        <f>IFERROR(__xludf.DUMMYFUNCTION("""COMPUTED_VALUE"""),188.0)</f>
        <v>188</v>
      </c>
      <c r="N31" s="219"/>
    </row>
    <row r="32">
      <c r="A32" s="203">
        <v>45065.0</v>
      </c>
      <c r="B32" s="204" t="s">
        <v>1</v>
      </c>
      <c r="C32" s="227">
        <v>10.0</v>
      </c>
      <c r="D32" s="223">
        <v>16.0</v>
      </c>
      <c r="E32" s="228" t="s">
        <v>158</v>
      </c>
      <c r="G32" s="222">
        <v>193.0</v>
      </c>
      <c r="H32" s="223">
        <v>189.0</v>
      </c>
      <c r="J32" s="224">
        <f>IFERROR(__xludf.DUMMYFUNCTION("""COMPUTED_VALUE"""),45065.0)</f>
        <v>45065</v>
      </c>
      <c r="K32" s="225">
        <f>IFERROR(__xludf.DUMMYFUNCTION("""COMPUTED_VALUE"""),193.0)</f>
        <v>193</v>
      </c>
      <c r="L32" s="226">
        <f>IFERROR(__xludf.DUMMYFUNCTION("""COMPUTED_VALUE"""),189.0)</f>
        <v>189</v>
      </c>
      <c r="N32" s="219"/>
    </row>
    <row r="33">
      <c r="A33" s="203">
        <v>45065.0</v>
      </c>
      <c r="B33" s="204" t="s">
        <v>64</v>
      </c>
      <c r="C33" s="227">
        <v>11.0</v>
      </c>
      <c r="D33" s="223">
        <v>5.0</v>
      </c>
      <c r="E33" s="228" t="s">
        <v>157</v>
      </c>
      <c r="G33" s="222">
        <v>194.0</v>
      </c>
      <c r="H33" s="223">
        <v>189.0</v>
      </c>
      <c r="J33" s="224">
        <f>IFERROR(__xludf.DUMMYFUNCTION("""COMPUTED_VALUE"""),45065.0)</f>
        <v>45065</v>
      </c>
      <c r="K33" s="225">
        <f>IFERROR(__xludf.DUMMYFUNCTION("""COMPUTED_VALUE"""),194.0)</f>
        <v>194</v>
      </c>
      <c r="L33" s="226">
        <f>IFERROR(__xludf.DUMMYFUNCTION("""COMPUTED_VALUE"""),189.0)</f>
        <v>189</v>
      </c>
      <c r="N33" s="219"/>
    </row>
    <row r="34">
      <c r="A34" s="203">
        <v>45065.0</v>
      </c>
      <c r="B34" s="204" t="s">
        <v>165</v>
      </c>
      <c r="C34" s="227">
        <v>14.0</v>
      </c>
      <c r="D34" s="223">
        <v>18.0</v>
      </c>
      <c r="E34" s="228" t="s">
        <v>157</v>
      </c>
      <c r="G34" s="222">
        <v>195.0</v>
      </c>
      <c r="H34" s="223">
        <v>189.0</v>
      </c>
      <c r="J34" s="224">
        <f>IFERROR(__xludf.DUMMYFUNCTION("""COMPUTED_VALUE"""),45065.0)</f>
        <v>45065</v>
      </c>
      <c r="K34" s="225">
        <f>IFERROR(__xludf.DUMMYFUNCTION("""COMPUTED_VALUE"""),195.0)</f>
        <v>195</v>
      </c>
      <c r="L34" s="226">
        <f>IFERROR(__xludf.DUMMYFUNCTION("""COMPUTED_VALUE"""),189.0)</f>
        <v>189</v>
      </c>
      <c r="N34" s="219"/>
    </row>
    <row r="35">
      <c r="A35" s="203">
        <v>45065.0</v>
      </c>
      <c r="B35" s="204" t="s">
        <v>38</v>
      </c>
      <c r="C35" s="227">
        <v>4.0</v>
      </c>
      <c r="D35" s="223">
        <v>6.0</v>
      </c>
      <c r="E35" s="228" t="s">
        <v>157</v>
      </c>
      <c r="G35" s="222">
        <v>196.0</v>
      </c>
      <c r="H35" s="223">
        <v>189.0</v>
      </c>
      <c r="J35" s="224">
        <f>IFERROR(__xludf.DUMMYFUNCTION("""COMPUTED_VALUE"""),45065.0)</f>
        <v>45065</v>
      </c>
      <c r="K35" s="225">
        <f>IFERROR(__xludf.DUMMYFUNCTION("""COMPUTED_VALUE"""),196.0)</f>
        <v>196</v>
      </c>
      <c r="L35" s="226">
        <f>IFERROR(__xludf.DUMMYFUNCTION("""COMPUTED_VALUE"""),189.0)</f>
        <v>189</v>
      </c>
      <c r="N35" s="219"/>
    </row>
    <row r="36">
      <c r="A36" s="203">
        <v>45065.0</v>
      </c>
      <c r="B36" s="204" t="s">
        <v>85</v>
      </c>
      <c r="C36" s="227">
        <v>3.0</v>
      </c>
      <c r="D36" s="223">
        <v>4.0</v>
      </c>
      <c r="E36" s="228" t="s">
        <v>157</v>
      </c>
      <c r="G36" s="222">
        <v>197.0</v>
      </c>
      <c r="H36" s="223">
        <v>189.0</v>
      </c>
      <c r="J36" s="224">
        <f>IFERROR(__xludf.DUMMYFUNCTION("""COMPUTED_VALUE"""),45065.0)</f>
        <v>45065</v>
      </c>
      <c r="K36" s="225">
        <f>IFERROR(__xludf.DUMMYFUNCTION("""COMPUTED_VALUE"""),197.0)</f>
        <v>197</v>
      </c>
      <c r="L36" s="226">
        <f>IFERROR(__xludf.DUMMYFUNCTION("""COMPUTED_VALUE"""),189.0)</f>
        <v>189</v>
      </c>
      <c r="N36" s="219"/>
    </row>
    <row r="37">
      <c r="A37" s="203">
        <v>45065.0</v>
      </c>
      <c r="B37" s="204" t="s">
        <v>115</v>
      </c>
      <c r="C37" s="227">
        <v>4.0</v>
      </c>
      <c r="D37" s="223">
        <v>9.0</v>
      </c>
      <c r="E37" s="228" t="s">
        <v>158</v>
      </c>
      <c r="G37" s="222">
        <v>197.0</v>
      </c>
      <c r="H37" s="223">
        <v>190.0</v>
      </c>
      <c r="J37" s="224">
        <f>IFERROR(__xludf.DUMMYFUNCTION("""COMPUTED_VALUE"""),45065.0)</f>
        <v>45065</v>
      </c>
      <c r="K37" s="225">
        <f>IFERROR(__xludf.DUMMYFUNCTION("""COMPUTED_VALUE"""),197.0)</f>
        <v>197</v>
      </c>
      <c r="L37" s="226">
        <f>IFERROR(__xludf.DUMMYFUNCTION("""COMPUTED_VALUE"""),190.0)</f>
        <v>190</v>
      </c>
      <c r="N37" s="219"/>
    </row>
    <row r="38">
      <c r="A38" s="203">
        <v>45066.0</v>
      </c>
      <c r="B38" s="204" t="s">
        <v>177</v>
      </c>
      <c r="C38" s="227">
        <v>4.0</v>
      </c>
      <c r="D38" s="223">
        <v>10.0</v>
      </c>
      <c r="E38" s="228" t="s">
        <v>157</v>
      </c>
      <c r="G38" s="222">
        <v>198.0</v>
      </c>
      <c r="H38" s="223">
        <v>190.0</v>
      </c>
      <c r="J38" s="224">
        <f>IFERROR(__xludf.DUMMYFUNCTION("""COMPUTED_VALUE"""),45066.0)</f>
        <v>45066</v>
      </c>
      <c r="K38" s="225">
        <f>IFERROR(__xludf.DUMMYFUNCTION("""COMPUTED_VALUE"""),198.0)</f>
        <v>198</v>
      </c>
      <c r="L38" s="226">
        <f>IFERROR(__xludf.DUMMYFUNCTION("""COMPUTED_VALUE"""),190.0)</f>
        <v>190</v>
      </c>
      <c r="N38" s="219"/>
    </row>
    <row r="39">
      <c r="A39" s="203">
        <v>45066.0</v>
      </c>
      <c r="B39" s="204" t="s">
        <v>39</v>
      </c>
      <c r="C39" s="227">
        <v>6.0</v>
      </c>
      <c r="D39" s="223">
        <v>3.0</v>
      </c>
      <c r="E39" s="228" t="s">
        <v>157</v>
      </c>
      <c r="G39" s="222">
        <v>199.0</v>
      </c>
      <c r="H39" s="223">
        <v>190.0</v>
      </c>
      <c r="J39" s="224">
        <f>IFERROR(__xludf.DUMMYFUNCTION("""COMPUTED_VALUE"""),45066.0)</f>
        <v>45066</v>
      </c>
      <c r="K39" s="225">
        <f>IFERROR(__xludf.DUMMYFUNCTION("""COMPUTED_VALUE"""),199.0)</f>
        <v>199</v>
      </c>
      <c r="L39" s="226">
        <f>IFERROR(__xludf.DUMMYFUNCTION("""COMPUTED_VALUE"""),190.0)</f>
        <v>190</v>
      </c>
      <c r="N39" s="219"/>
    </row>
    <row r="40">
      <c r="A40" s="203">
        <v>45066.0</v>
      </c>
      <c r="B40" s="204" t="s">
        <v>175</v>
      </c>
      <c r="C40" s="227">
        <v>9.0</v>
      </c>
      <c r="D40" s="223">
        <v>12.0</v>
      </c>
      <c r="E40" s="228" t="s">
        <v>158</v>
      </c>
      <c r="G40" s="222">
        <v>199.0</v>
      </c>
      <c r="H40" s="223">
        <v>191.0</v>
      </c>
      <c r="J40" s="224">
        <f>IFERROR(__xludf.DUMMYFUNCTION("""COMPUTED_VALUE"""),45066.0)</f>
        <v>45066</v>
      </c>
      <c r="K40" s="225">
        <f>IFERROR(__xludf.DUMMYFUNCTION("""COMPUTED_VALUE"""),199.0)</f>
        <v>199</v>
      </c>
      <c r="L40" s="226">
        <f>IFERROR(__xludf.DUMMYFUNCTION("""COMPUTED_VALUE"""),191.0)</f>
        <v>191</v>
      </c>
      <c r="N40" s="219"/>
    </row>
    <row r="41">
      <c r="A41" s="203">
        <v>45066.0</v>
      </c>
      <c r="B41" s="204" t="s">
        <v>67</v>
      </c>
      <c r="C41" s="227">
        <v>12.0</v>
      </c>
      <c r="D41" s="223">
        <v>19.0</v>
      </c>
      <c r="E41" s="228" t="s">
        <v>158</v>
      </c>
      <c r="G41" s="222">
        <v>199.0</v>
      </c>
      <c r="H41" s="223">
        <v>192.0</v>
      </c>
      <c r="J41" s="224">
        <f>IFERROR(__xludf.DUMMYFUNCTION("""COMPUTED_VALUE"""),45066.0)</f>
        <v>45066</v>
      </c>
      <c r="K41" s="225">
        <f>IFERROR(__xludf.DUMMYFUNCTION("""COMPUTED_VALUE"""),199.0)</f>
        <v>199</v>
      </c>
      <c r="L41" s="226">
        <f>IFERROR(__xludf.DUMMYFUNCTION("""COMPUTED_VALUE"""),192.0)</f>
        <v>192</v>
      </c>
      <c r="N41" s="229"/>
    </row>
    <row r="42">
      <c r="A42" s="203">
        <v>45066.0</v>
      </c>
      <c r="B42" s="204" t="s">
        <v>3</v>
      </c>
      <c r="C42" s="227">
        <v>9.0</v>
      </c>
      <c r="D42" s="223">
        <v>13.0</v>
      </c>
      <c r="E42" s="228" t="s">
        <v>158</v>
      </c>
      <c r="G42" s="222">
        <v>199.0</v>
      </c>
      <c r="H42" s="223">
        <v>193.0</v>
      </c>
      <c r="J42" s="224">
        <f>IFERROR(__xludf.DUMMYFUNCTION("""COMPUTED_VALUE"""),45066.0)</f>
        <v>45066</v>
      </c>
      <c r="K42" s="225">
        <f>IFERROR(__xludf.DUMMYFUNCTION("""COMPUTED_VALUE"""),199.0)</f>
        <v>199</v>
      </c>
      <c r="L42" s="226">
        <f>IFERROR(__xludf.DUMMYFUNCTION("""COMPUTED_VALUE"""),193.0)</f>
        <v>193</v>
      </c>
    </row>
    <row r="43">
      <c r="A43" s="203">
        <v>45073.0</v>
      </c>
      <c r="B43" s="204" t="s">
        <v>172</v>
      </c>
      <c r="C43" s="227">
        <v>11.0</v>
      </c>
      <c r="D43" s="223">
        <v>12.0</v>
      </c>
      <c r="E43" s="228" t="s">
        <v>157</v>
      </c>
      <c r="G43" s="222">
        <v>200.0</v>
      </c>
      <c r="H43" s="223">
        <v>193.0</v>
      </c>
      <c r="J43" s="224">
        <f>IFERROR(__xludf.DUMMYFUNCTION("""COMPUTED_VALUE"""),45073.0)</f>
        <v>45073</v>
      </c>
      <c r="K43" s="225">
        <f>IFERROR(__xludf.DUMMYFUNCTION("""COMPUTED_VALUE"""),200.0)</f>
        <v>200</v>
      </c>
      <c r="L43" s="226">
        <f>IFERROR(__xludf.DUMMYFUNCTION("""COMPUTED_VALUE"""),193.0)</f>
        <v>193</v>
      </c>
    </row>
    <row r="44">
      <c r="A44" s="203">
        <v>45073.0</v>
      </c>
      <c r="B44" s="204" t="s">
        <v>179</v>
      </c>
      <c r="C44" s="227">
        <v>9.0</v>
      </c>
      <c r="D44" s="223">
        <v>7.0</v>
      </c>
      <c r="E44" s="228" t="s">
        <v>158</v>
      </c>
      <c r="G44" s="222">
        <v>200.0</v>
      </c>
      <c r="H44" s="223">
        <v>194.0</v>
      </c>
      <c r="J44" s="224">
        <f>IFERROR(__xludf.DUMMYFUNCTION("""COMPUTED_VALUE"""),45073.0)</f>
        <v>45073</v>
      </c>
      <c r="K44" s="225">
        <f>IFERROR(__xludf.DUMMYFUNCTION("""COMPUTED_VALUE"""),200.0)</f>
        <v>200</v>
      </c>
      <c r="L44" s="226">
        <f>IFERROR(__xludf.DUMMYFUNCTION("""COMPUTED_VALUE"""),194.0)</f>
        <v>194</v>
      </c>
    </row>
    <row r="45">
      <c r="A45" s="203">
        <v>45073.0</v>
      </c>
      <c r="B45" s="204" t="s">
        <v>113</v>
      </c>
      <c r="C45" s="227">
        <v>10.0</v>
      </c>
      <c r="D45" s="223">
        <v>6.0</v>
      </c>
      <c r="E45" s="228" t="s">
        <v>157</v>
      </c>
      <c r="G45" s="222">
        <v>201.0</v>
      </c>
      <c r="H45" s="223">
        <v>194.0</v>
      </c>
      <c r="J45" s="224">
        <f>IFERROR(__xludf.DUMMYFUNCTION("""COMPUTED_VALUE"""),45073.0)</f>
        <v>45073</v>
      </c>
      <c r="K45" s="225">
        <f>IFERROR(__xludf.DUMMYFUNCTION("""COMPUTED_VALUE"""),201.0)</f>
        <v>201</v>
      </c>
      <c r="L45" s="226">
        <f>IFERROR(__xludf.DUMMYFUNCTION("""COMPUTED_VALUE"""),194.0)</f>
        <v>194</v>
      </c>
    </row>
    <row r="46">
      <c r="A46" s="203">
        <v>45073.0</v>
      </c>
      <c r="B46" s="204" t="s">
        <v>176</v>
      </c>
      <c r="C46" s="227">
        <v>10.0</v>
      </c>
      <c r="D46" s="223">
        <v>5.0</v>
      </c>
      <c r="E46" s="228" t="s">
        <v>157</v>
      </c>
      <c r="G46" s="222">
        <v>202.0</v>
      </c>
      <c r="H46" s="223">
        <v>194.0</v>
      </c>
      <c r="J46" s="224">
        <f>IFERROR(__xludf.DUMMYFUNCTION("""COMPUTED_VALUE"""),45073.0)</f>
        <v>45073</v>
      </c>
      <c r="K46" s="225">
        <f>IFERROR(__xludf.DUMMYFUNCTION("""COMPUTED_VALUE"""),202.0)</f>
        <v>202</v>
      </c>
      <c r="L46" s="226">
        <f>IFERROR(__xludf.DUMMYFUNCTION("""COMPUTED_VALUE"""),194.0)</f>
        <v>194</v>
      </c>
    </row>
    <row r="47">
      <c r="A47" s="203">
        <v>45073.0</v>
      </c>
      <c r="B47" s="204" t="s">
        <v>1115</v>
      </c>
      <c r="C47" s="227">
        <v>2.0</v>
      </c>
      <c r="D47" s="223">
        <v>2.0</v>
      </c>
      <c r="E47" s="228" t="s">
        <v>158</v>
      </c>
      <c r="G47" s="222">
        <v>202.0</v>
      </c>
      <c r="H47" s="223">
        <v>195.0</v>
      </c>
      <c r="J47" s="224">
        <f>IFERROR(__xludf.DUMMYFUNCTION("""COMPUTED_VALUE"""),45073.0)</f>
        <v>45073</v>
      </c>
      <c r="K47" s="225">
        <f>IFERROR(__xludf.DUMMYFUNCTION("""COMPUTED_VALUE"""),202.0)</f>
        <v>202</v>
      </c>
      <c r="L47" s="226">
        <f>IFERROR(__xludf.DUMMYFUNCTION("""COMPUTED_VALUE"""),195.0)</f>
        <v>195</v>
      </c>
    </row>
    <row r="48">
      <c r="A48" s="203">
        <v>45073.0</v>
      </c>
      <c r="B48" s="204" t="s">
        <v>106</v>
      </c>
      <c r="C48" s="227">
        <v>7.0</v>
      </c>
      <c r="D48" s="223">
        <v>3.0</v>
      </c>
      <c r="E48" s="228" t="s">
        <v>157</v>
      </c>
      <c r="G48" s="222">
        <v>203.0</v>
      </c>
      <c r="H48" s="223">
        <v>195.0</v>
      </c>
      <c r="J48" s="224">
        <f>IFERROR(__xludf.DUMMYFUNCTION("""COMPUTED_VALUE"""),45073.0)</f>
        <v>45073</v>
      </c>
      <c r="K48" s="225">
        <f>IFERROR(__xludf.DUMMYFUNCTION("""COMPUTED_VALUE"""),203.0)</f>
        <v>203</v>
      </c>
      <c r="L48" s="226">
        <f>IFERROR(__xludf.DUMMYFUNCTION("""COMPUTED_VALUE"""),195.0)</f>
        <v>195</v>
      </c>
    </row>
    <row r="49">
      <c r="A49" s="203">
        <v>45073.0</v>
      </c>
      <c r="B49" s="204" t="s">
        <v>165</v>
      </c>
      <c r="C49" s="227">
        <v>14.0</v>
      </c>
      <c r="D49" s="223">
        <v>19.0</v>
      </c>
      <c r="E49" s="228" t="s">
        <v>158</v>
      </c>
      <c r="G49" s="222">
        <v>203.0</v>
      </c>
      <c r="H49" s="223">
        <v>196.0</v>
      </c>
      <c r="J49" s="224">
        <f>IFERROR(__xludf.DUMMYFUNCTION("""COMPUTED_VALUE"""),45073.0)</f>
        <v>45073</v>
      </c>
      <c r="K49" s="225">
        <f>IFERROR(__xludf.DUMMYFUNCTION("""COMPUTED_VALUE"""),203.0)</f>
        <v>203</v>
      </c>
      <c r="L49" s="226">
        <f>IFERROR(__xludf.DUMMYFUNCTION("""COMPUTED_VALUE"""),196.0)</f>
        <v>196</v>
      </c>
    </row>
    <row r="50">
      <c r="A50" s="203">
        <v>45073.0</v>
      </c>
      <c r="B50" s="204" t="s">
        <v>107</v>
      </c>
      <c r="C50" s="227">
        <v>7.0</v>
      </c>
      <c r="D50" s="223">
        <v>18.0</v>
      </c>
      <c r="E50" s="228" t="s">
        <v>158</v>
      </c>
      <c r="G50" s="222">
        <v>203.0</v>
      </c>
      <c r="H50" s="223">
        <v>197.0</v>
      </c>
      <c r="J50" s="224">
        <f>IFERROR(__xludf.DUMMYFUNCTION("""COMPUTED_VALUE"""),45073.0)</f>
        <v>45073</v>
      </c>
      <c r="K50" s="225">
        <f>IFERROR(__xludf.DUMMYFUNCTION("""COMPUTED_VALUE"""),203.0)</f>
        <v>203</v>
      </c>
      <c r="L50" s="226">
        <f>IFERROR(__xludf.DUMMYFUNCTION("""COMPUTED_VALUE"""),197.0)</f>
        <v>197</v>
      </c>
    </row>
    <row r="51">
      <c r="A51" s="203">
        <v>45073.0</v>
      </c>
      <c r="B51" s="204" t="s">
        <v>181</v>
      </c>
      <c r="C51" s="227">
        <v>10.0</v>
      </c>
      <c r="D51" s="223">
        <v>4.0</v>
      </c>
      <c r="E51" s="228" t="s">
        <v>157</v>
      </c>
      <c r="G51" s="222">
        <v>204.0</v>
      </c>
      <c r="H51" s="223">
        <v>197.0</v>
      </c>
      <c r="J51" s="224">
        <f>IFERROR(__xludf.DUMMYFUNCTION("""COMPUTED_VALUE"""),45073.0)</f>
        <v>45073</v>
      </c>
      <c r="K51" s="225">
        <f>IFERROR(__xludf.DUMMYFUNCTION("""COMPUTED_VALUE"""),204.0)</f>
        <v>204</v>
      </c>
      <c r="L51" s="226">
        <f>IFERROR(__xludf.DUMMYFUNCTION("""COMPUTED_VALUE"""),197.0)</f>
        <v>197</v>
      </c>
    </row>
    <row r="52">
      <c r="A52" s="203">
        <v>45075.0</v>
      </c>
      <c r="B52" s="204" t="s">
        <v>180</v>
      </c>
      <c r="C52" s="227">
        <v>10.0</v>
      </c>
      <c r="D52" s="223">
        <v>5.0</v>
      </c>
      <c r="E52" s="228" t="s">
        <v>158</v>
      </c>
      <c r="G52" s="222">
        <v>204.0</v>
      </c>
      <c r="H52" s="223">
        <v>198.0</v>
      </c>
      <c r="J52" s="224">
        <f>IFERROR(__xludf.DUMMYFUNCTION("""COMPUTED_VALUE"""),45075.0)</f>
        <v>45075</v>
      </c>
      <c r="K52" s="225">
        <f>IFERROR(__xludf.DUMMYFUNCTION("""COMPUTED_VALUE"""),204.0)</f>
        <v>204</v>
      </c>
      <c r="L52" s="226">
        <f>IFERROR(__xludf.DUMMYFUNCTION("""COMPUTED_VALUE"""),198.0)</f>
        <v>198</v>
      </c>
    </row>
    <row r="53">
      <c r="A53" s="203">
        <v>45075.0</v>
      </c>
      <c r="B53" s="204" t="s">
        <v>107</v>
      </c>
      <c r="C53" s="227">
        <v>8.0</v>
      </c>
      <c r="D53" s="223">
        <v>18.0</v>
      </c>
      <c r="E53" s="228" t="s">
        <v>157</v>
      </c>
      <c r="G53" s="222">
        <v>205.0</v>
      </c>
      <c r="H53" s="223">
        <v>198.0</v>
      </c>
      <c r="J53" s="224">
        <f>IFERROR(__xludf.DUMMYFUNCTION("""COMPUTED_VALUE"""),45075.0)</f>
        <v>45075</v>
      </c>
      <c r="K53" s="225">
        <f>IFERROR(__xludf.DUMMYFUNCTION("""COMPUTED_VALUE"""),205.0)</f>
        <v>205</v>
      </c>
      <c r="L53" s="226">
        <f>IFERROR(__xludf.DUMMYFUNCTION("""COMPUTED_VALUE"""),198.0)</f>
        <v>198</v>
      </c>
    </row>
    <row r="54">
      <c r="A54" s="203">
        <v>45075.0</v>
      </c>
      <c r="B54" s="204" t="s">
        <v>177</v>
      </c>
      <c r="C54" s="227">
        <v>5.0</v>
      </c>
      <c r="D54" s="223">
        <v>10.0</v>
      </c>
      <c r="E54" s="228" t="s">
        <v>157</v>
      </c>
      <c r="G54" s="222">
        <v>206.0</v>
      </c>
      <c r="H54" s="223">
        <v>198.0</v>
      </c>
      <c r="J54" s="224">
        <f>IFERROR(__xludf.DUMMYFUNCTION("""COMPUTED_VALUE"""),45075.0)</f>
        <v>45075</v>
      </c>
      <c r="K54" s="230">
        <f>IFERROR(__xludf.DUMMYFUNCTION("""COMPUTED_VALUE"""),206.0)</f>
        <v>206</v>
      </c>
      <c r="L54" s="231">
        <f>IFERROR(__xludf.DUMMYFUNCTION("""COMPUTED_VALUE"""),198.0)</f>
        <v>198</v>
      </c>
    </row>
    <row r="55">
      <c r="A55" s="203">
        <v>45075.0</v>
      </c>
      <c r="B55" s="204" t="s">
        <v>1</v>
      </c>
      <c r="C55" s="227">
        <v>11.0</v>
      </c>
      <c r="D55" s="223">
        <v>16.0</v>
      </c>
      <c r="E55" s="228" t="s">
        <v>157</v>
      </c>
      <c r="G55" s="222">
        <v>207.0</v>
      </c>
      <c r="H55" s="223">
        <v>198.0</v>
      </c>
      <c r="J55" s="224">
        <f>IFERROR(__xludf.DUMMYFUNCTION("""COMPUTED_VALUE"""),45075.0)</f>
        <v>45075</v>
      </c>
      <c r="K55" s="230">
        <f>IFERROR(__xludf.DUMMYFUNCTION("""COMPUTED_VALUE"""),207.0)</f>
        <v>207</v>
      </c>
      <c r="L55" s="231">
        <f>IFERROR(__xludf.DUMMYFUNCTION("""COMPUTED_VALUE"""),198.0)</f>
        <v>198</v>
      </c>
    </row>
    <row r="56">
      <c r="A56" s="203">
        <v>45075.0</v>
      </c>
      <c r="B56" s="204" t="s">
        <v>85</v>
      </c>
      <c r="C56" s="227">
        <v>3.0</v>
      </c>
      <c r="D56" s="223">
        <v>5.0</v>
      </c>
      <c r="E56" s="228" t="s">
        <v>158</v>
      </c>
      <c r="G56" s="222">
        <v>207.0</v>
      </c>
      <c r="H56" s="223">
        <v>199.0</v>
      </c>
      <c r="J56" s="224">
        <f>IFERROR(__xludf.DUMMYFUNCTION("""COMPUTED_VALUE"""),45075.0)</f>
        <v>45075</v>
      </c>
      <c r="K56" s="230">
        <f>IFERROR(__xludf.DUMMYFUNCTION("""COMPUTED_VALUE"""),207.0)</f>
        <v>207</v>
      </c>
      <c r="L56" s="231">
        <f>IFERROR(__xludf.DUMMYFUNCTION("""COMPUTED_VALUE"""),199.0)</f>
        <v>199</v>
      </c>
    </row>
    <row r="57">
      <c r="A57" s="203">
        <v>45079.0</v>
      </c>
      <c r="B57" s="204" t="s">
        <v>115</v>
      </c>
      <c r="C57" s="227">
        <v>4.0</v>
      </c>
      <c r="D57" s="223">
        <v>10.0</v>
      </c>
      <c r="E57" s="228" t="s">
        <v>158</v>
      </c>
      <c r="G57" s="222">
        <v>207.0</v>
      </c>
      <c r="H57" s="223">
        <v>200.0</v>
      </c>
      <c r="J57" s="224">
        <f>IFERROR(__xludf.DUMMYFUNCTION("""COMPUTED_VALUE"""),45079.0)</f>
        <v>45079</v>
      </c>
      <c r="K57" s="230">
        <f>IFERROR(__xludf.DUMMYFUNCTION("""COMPUTED_VALUE"""),207.0)</f>
        <v>207</v>
      </c>
      <c r="L57" s="231">
        <f>IFERROR(__xludf.DUMMYFUNCTION("""COMPUTED_VALUE"""),200.0)</f>
        <v>200</v>
      </c>
    </row>
    <row r="58">
      <c r="A58" s="203">
        <v>45079.0</v>
      </c>
      <c r="B58" s="204" t="s">
        <v>165</v>
      </c>
      <c r="C58" s="227">
        <v>14.0</v>
      </c>
      <c r="D58" s="223">
        <v>20.0</v>
      </c>
      <c r="E58" s="228" t="s">
        <v>158</v>
      </c>
      <c r="G58" s="222">
        <v>207.0</v>
      </c>
      <c r="H58" s="223">
        <v>201.0</v>
      </c>
      <c r="J58" s="224">
        <f>IFERROR(__xludf.DUMMYFUNCTION("""COMPUTED_VALUE"""),45079.0)</f>
        <v>45079</v>
      </c>
      <c r="K58" s="230">
        <f>IFERROR(__xludf.DUMMYFUNCTION("""COMPUTED_VALUE"""),207.0)</f>
        <v>207</v>
      </c>
      <c r="L58" s="231">
        <f>IFERROR(__xludf.DUMMYFUNCTION("""COMPUTED_VALUE"""),201.0)</f>
        <v>201</v>
      </c>
    </row>
    <row r="59">
      <c r="A59" s="203">
        <v>45079.0</v>
      </c>
      <c r="B59" s="204" t="s">
        <v>113</v>
      </c>
      <c r="C59" s="227">
        <v>11.0</v>
      </c>
      <c r="D59" s="223">
        <v>6.0</v>
      </c>
      <c r="E59" s="228" t="s">
        <v>157</v>
      </c>
      <c r="G59" s="222">
        <v>208.0</v>
      </c>
      <c r="H59" s="223">
        <v>201.0</v>
      </c>
      <c r="J59" s="224">
        <f>IFERROR(__xludf.DUMMYFUNCTION("""COMPUTED_VALUE"""),45079.0)</f>
        <v>45079</v>
      </c>
      <c r="K59" s="230">
        <f>IFERROR(__xludf.DUMMYFUNCTION("""COMPUTED_VALUE"""),208.0)</f>
        <v>208</v>
      </c>
      <c r="L59" s="231">
        <f>IFERROR(__xludf.DUMMYFUNCTION("""COMPUTED_VALUE"""),201.0)</f>
        <v>201</v>
      </c>
    </row>
    <row r="60">
      <c r="A60" s="203">
        <v>45079.0</v>
      </c>
      <c r="B60" s="204" t="s">
        <v>38</v>
      </c>
      <c r="C60" s="227">
        <v>5.0</v>
      </c>
      <c r="D60" s="223">
        <v>6.0</v>
      </c>
      <c r="E60" s="228" t="s">
        <v>157</v>
      </c>
      <c r="G60" s="222">
        <v>209.0</v>
      </c>
      <c r="H60" s="223">
        <v>201.0</v>
      </c>
      <c r="J60" s="224">
        <f>IFERROR(__xludf.DUMMYFUNCTION("""COMPUTED_VALUE"""),45079.0)</f>
        <v>45079</v>
      </c>
      <c r="K60" s="230">
        <f>IFERROR(__xludf.DUMMYFUNCTION("""COMPUTED_VALUE"""),209.0)</f>
        <v>209</v>
      </c>
      <c r="L60" s="231">
        <f>IFERROR(__xludf.DUMMYFUNCTION("""COMPUTED_VALUE"""),201.0)</f>
        <v>201</v>
      </c>
    </row>
    <row r="61">
      <c r="A61" s="203">
        <v>45079.0</v>
      </c>
      <c r="B61" s="204" t="s">
        <v>1</v>
      </c>
      <c r="C61" s="227">
        <v>11.0</v>
      </c>
      <c r="D61" s="223">
        <v>17.0</v>
      </c>
      <c r="E61" s="228" t="s">
        <v>158</v>
      </c>
      <c r="G61" s="222">
        <v>209.0</v>
      </c>
      <c r="H61" s="223">
        <v>202.0</v>
      </c>
      <c r="J61" s="224">
        <f>IFERROR(__xludf.DUMMYFUNCTION("""COMPUTED_VALUE"""),45079.0)</f>
        <v>45079</v>
      </c>
      <c r="K61" s="230">
        <f>IFERROR(__xludf.DUMMYFUNCTION("""COMPUTED_VALUE"""),209.0)</f>
        <v>209</v>
      </c>
      <c r="L61" s="231">
        <f>IFERROR(__xludf.DUMMYFUNCTION("""COMPUTED_VALUE"""),202.0)</f>
        <v>202</v>
      </c>
    </row>
    <row r="62">
      <c r="A62" s="203">
        <v>45079.0</v>
      </c>
      <c r="B62" s="204" t="s">
        <v>3</v>
      </c>
      <c r="C62" s="227">
        <v>10.0</v>
      </c>
      <c r="D62" s="223">
        <v>13.0</v>
      </c>
      <c r="E62" s="228" t="s">
        <v>157</v>
      </c>
      <c r="G62" s="222">
        <v>210.0</v>
      </c>
      <c r="H62" s="223">
        <v>202.0</v>
      </c>
      <c r="J62" s="224">
        <f>IFERROR(__xludf.DUMMYFUNCTION("""COMPUTED_VALUE"""),45079.0)</f>
        <v>45079</v>
      </c>
      <c r="K62" s="230">
        <f>IFERROR(__xludf.DUMMYFUNCTION("""COMPUTED_VALUE"""),210.0)</f>
        <v>210</v>
      </c>
      <c r="L62" s="231">
        <f>IFERROR(__xludf.DUMMYFUNCTION("""COMPUTED_VALUE"""),202.0)</f>
        <v>202</v>
      </c>
    </row>
    <row r="63">
      <c r="A63" s="203">
        <v>45079.0</v>
      </c>
      <c r="B63" s="204" t="s">
        <v>67</v>
      </c>
      <c r="C63" s="227">
        <v>13.0</v>
      </c>
      <c r="D63" s="223">
        <v>19.0</v>
      </c>
      <c r="E63" s="228" t="s">
        <v>157</v>
      </c>
      <c r="G63" s="222">
        <v>211.0</v>
      </c>
      <c r="H63" s="223">
        <v>202.0</v>
      </c>
      <c r="J63" s="224">
        <f>IFERROR(__xludf.DUMMYFUNCTION("""COMPUTED_VALUE"""),45079.0)</f>
        <v>45079</v>
      </c>
      <c r="K63" s="230">
        <f>IFERROR(__xludf.DUMMYFUNCTION("""COMPUTED_VALUE"""),211.0)</f>
        <v>211</v>
      </c>
      <c r="L63" s="231">
        <f>IFERROR(__xludf.DUMMYFUNCTION("""COMPUTED_VALUE"""),202.0)</f>
        <v>202</v>
      </c>
    </row>
    <row r="64">
      <c r="A64" s="203">
        <v>45087.0</v>
      </c>
      <c r="B64" s="204" t="s">
        <v>3</v>
      </c>
      <c r="C64" s="227">
        <v>10.0</v>
      </c>
      <c r="D64" s="204">
        <v>13.0</v>
      </c>
      <c r="E64" s="228" t="s">
        <v>158</v>
      </c>
      <c r="G64" s="222">
        <v>211.0</v>
      </c>
      <c r="H64" s="223">
        <v>203.0</v>
      </c>
      <c r="J64" s="224">
        <f>IFERROR(__xludf.DUMMYFUNCTION("""COMPUTED_VALUE"""),45087.0)</f>
        <v>45087</v>
      </c>
      <c r="K64" s="230">
        <f>IFERROR(__xludf.DUMMYFUNCTION("""COMPUTED_VALUE"""),211.0)</f>
        <v>211</v>
      </c>
      <c r="L64" s="231">
        <f>IFERROR(__xludf.DUMMYFUNCTION("""COMPUTED_VALUE"""),203.0)</f>
        <v>203</v>
      </c>
    </row>
    <row r="65">
      <c r="A65" s="203">
        <v>45087.0</v>
      </c>
      <c r="B65" s="204" t="s">
        <v>1</v>
      </c>
      <c r="C65" s="227">
        <v>11.0</v>
      </c>
      <c r="D65" s="223">
        <v>18.0</v>
      </c>
      <c r="E65" s="228" t="s">
        <v>158</v>
      </c>
      <c r="G65" s="222">
        <v>211.0</v>
      </c>
      <c r="H65" s="223">
        <v>204.0</v>
      </c>
      <c r="J65" s="224">
        <f>IFERROR(__xludf.DUMMYFUNCTION("""COMPUTED_VALUE"""),45087.0)</f>
        <v>45087</v>
      </c>
      <c r="K65" s="230">
        <f>IFERROR(__xludf.DUMMYFUNCTION("""COMPUTED_VALUE"""),211.0)</f>
        <v>211</v>
      </c>
      <c r="L65" s="231">
        <f>IFERROR(__xludf.DUMMYFUNCTION("""COMPUTED_VALUE"""),204.0)</f>
        <v>204</v>
      </c>
    </row>
    <row r="66">
      <c r="A66" s="203">
        <v>45087.0</v>
      </c>
      <c r="B66" s="204" t="s">
        <v>107</v>
      </c>
      <c r="C66" s="227">
        <v>9.0</v>
      </c>
      <c r="D66" s="223">
        <v>18.0</v>
      </c>
      <c r="E66" s="228" t="s">
        <v>157</v>
      </c>
      <c r="G66" s="222">
        <v>212.0</v>
      </c>
      <c r="H66" s="223">
        <v>204.0</v>
      </c>
      <c r="J66" s="224">
        <f>IFERROR(__xludf.DUMMYFUNCTION("""COMPUTED_VALUE"""),45087.0)</f>
        <v>45087</v>
      </c>
      <c r="K66" s="230">
        <f>IFERROR(__xludf.DUMMYFUNCTION("""COMPUTED_VALUE"""),212.0)</f>
        <v>212</v>
      </c>
      <c r="L66" s="231">
        <f>IFERROR(__xludf.DUMMYFUNCTION("""COMPUTED_VALUE"""),204.0)</f>
        <v>204</v>
      </c>
    </row>
    <row r="67">
      <c r="A67" s="203">
        <v>45087.0</v>
      </c>
      <c r="B67" s="204" t="s">
        <v>172</v>
      </c>
      <c r="C67" s="227">
        <v>11.0</v>
      </c>
      <c r="D67" s="223">
        <v>13.0</v>
      </c>
      <c r="E67" s="228" t="s">
        <v>158</v>
      </c>
      <c r="G67" s="222">
        <v>212.0</v>
      </c>
      <c r="H67" s="223">
        <v>205.0</v>
      </c>
      <c r="J67" s="224">
        <f>IFERROR(__xludf.DUMMYFUNCTION("""COMPUTED_VALUE"""),45087.0)</f>
        <v>45087</v>
      </c>
      <c r="K67" s="230">
        <f>IFERROR(__xludf.DUMMYFUNCTION("""COMPUTED_VALUE"""),212.0)</f>
        <v>212</v>
      </c>
      <c r="L67" s="231">
        <f>IFERROR(__xludf.DUMMYFUNCTION("""COMPUTED_VALUE"""),205.0)</f>
        <v>205</v>
      </c>
    </row>
    <row r="68">
      <c r="A68" s="203">
        <v>45087.0</v>
      </c>
      <c r="B68" s="204" t="s">
        <v>64</v>
      </c>
      <c r="C68" s="227">
        <v>11.0</v>
      </c>
      <c r="D68" s="223">
        <v>6.0</v>
      </c>
      <c r="E68" s="228" t="s">
        <v>158</v>
      </c>
      <c r="G68" s="222">
        <v>212.0</v>
      </c>
      <c r="H68" s="223">
        <v>206.0</v>
      </c>
      <c r="J68" s="224">
        <f>IFERROR(__xludf.DUMMYFUNCTION("""COMPUTED_VALUE"""),45087.0)</f>
        <v>45087</v>
      </c>
      <c r="K68" s="230">
        <f>IFERROR(__xludf.DUMMYFUNCTION("""COMPUTED_VALUE"""),212.0)</f>
        <v>212</v>
      </c>
      <c r="L68" s="231">
        <f>IFERROR(__xludf.DUMMYFUNCTION("""COMPUTED_VALUE"""),206.0)</f>
        <v>206</v>
      </c>
    </row>
    <row r="69">
      <c r="A69" s="203">
        <v>45087.0</v>
      </c>
      <c r="B69" s="204" t="s">
        <v>177</v>
      </c>
      <c r="C69" s="227">
        <v>7.0</v>
      </c>
      <c r="D69" s="223">
        <v>13.0</v>
      </c>
      <c r="E69" s="228" t="s">
        <v>158</v>
      </c>
      <c r="G69" s="222">
        <v>212.0</v>
      </c>
      <c r="H69" s="223">
        <v>207.0</v>
      </c>
      <c r="J69" s="224">
        <f>IFERROR(__xludf.DUMMYFUNCTION("""COMPUTED_VALUE"""),45087.0)</f>
        <v>45087</v>
      </c>
      <c r="K69" s="230">
        <f>IFERROR(__xludf.DUMMYFUNCTION("""COMPUTED_VALUE"""),212.0)</f>
        <v>212</v>
      </c>
      <c r="L69" s="231">
        <f>IFERROR(__xludf.DUMMYFUNCTION("""COMPUTED_VALUE"""),207.0)</f>
        <v>207</v>
      </c>
    </row>
    <row r="70">
      <c r="A70" s="203">
        <v>45087.0</v>
      </c>
      <c r="B70" s="204" t="s">
        <v>186</v>
      </c>
      <c r="C70" s="227">
        <v>11.0</v>
      </c>
      <c r="D70" s="223">
        <v>5.0</v>
      </c>
      <c r="E70" s="228" t="s">
        <v>158</v>
      </c>
      <c r="G70" s="222">
        <v>212.0</v>
      </c>
      <c r="H70" s="223">
        <v>208.0</v>
      </c>
      <c r="J70" s="224">
        <f>IFERROR(__xludf.DUMMYFUNCTION("""COMPUTED_VALUE"""),45087.0)</f>
        <v>45087</v>
      </c>
      <c r="K70" s="230">
        <f>IFERROR(__xludf.DUMMYFUNCTION("""COMPUTED_VALUE"""),212.0)</f>
        <v>212</v>
      </c>
      <c r="L70" s="231">
        <f>IFERROR(__xludf.DUMMYFUNCTION("""COMPUTED_VALUE"""),208.0)</f>
        <v>208</v>
      </c>
    </row>
    <row r="71">
      <c r="A71" s="203">
        <v>45089.0</v>
      </c>
      <c r="B71" s="204" t="s">
        <v>84</v>
      </c>
      <c r="C71" s="227">
        <v>11.0</v>
      </c>
      <c r="D71" s="223">
        <v>6.0</v>
      </c>
      <c r="E71" s="228" t="s">
        <v>157</v>
      </c>
      <c r="G71" s="222">
        <v>213.0</v>
      </c>
      <c r="H71" s="223">
        <v>208.0</v>
      </c>
      <c r="J71" s="224">
        <f>IFERROR(__xludf.DUMMYFUNCTION("""COMPUTED_VALUE"""),45089.0)</f>
        <v>45089</v>
      </c>
      <c r="K71" s="230">
        <f>IFERROR(__xludf.DUMMYFUNCTION("""COMPUTED_VALUE"""),213.0)</f>
        <v>213</v>
      </c>
      <c r="L71" s="231">
        <f>IFERROR(__xludf.DUMMYFUNCTION("""COMPUTED_VALUE"""),208.0)</f>
        <v>208</v>
      </c>
    </row>
    <row r="72">
      <c r="A72" s="203">
        <v>45094.0</v>
      </c>
      <c r="B72" s="204" t="s">
        <v>134</v>
      </c>
      <c r="C72" s="227">
        <v>12.0</v>
      </c>
      <c r="D72" s="223">
        <v>3.0</v>
      </c>
      <c r="E72" s="228" t="s">
        <v>157</v>
      </c>
      <c r="G72" s="222">
        <v>214.0</v>
      </c>
      <c r="H72" s="223">
        <v>208.0</v>
      </c>
      <c r="J72" s="224">
        <f>IFERROR(__xludf.DUMMYFUNCTION("""COMPUTED_VALUE"""),45094.0)</f>
        <v>45094</v>
      </c>
      <c r="K72" s="230">
        <f>IFERROR(__xludf.DUMMYFUNCTION("""COMPUTED_VALUE"""),214.0)</f>
        <v>214</v>
      </c>
      <c r="L72" s="231">
        <f>IFERROR(__xludf.DUMMYFUNCTION("""COMPUTED_VALUE"""),208.0)</f>
        <v>208</v>
      </c>
    </row>
    <row r="73">
      <c r="A73" s="203">
        <v>45094.0</v>
      </c>
      <c r="B73" s="204" t="s">
        <v>165</v>
      </c>
      <c r="C73" s="227">
        <v>14.0</v>
      </c>
      <c r="D73" s="223">
        <v>21.0</v>
      </c>
      <c r="E73" s="228" t="s">
        <v>158</v>
      </c>
      <c r="G73" s="222">
        <v>214.0</v>
      </c>
      <c r="H73" s="223">
        <v>209.0</v>
      </c>
      <c r="J73" s="224">
        <f>IFERROR(__xludf.DUMMYFUNCTION("""COMPUTED_VALUE"""),45094.0)</f>
        <v>45094</v>
      </c>
      <c r="K73" s="230">
        <f>IFERROR(__xludf.DUMMYFUNCTION("""COMPUTED_VALUE"""),214.0)</f>
        <v>214</v>
      </c>
      <c r="L73" s="231">
        <f>IFERROR(__xludf.DUMMYFUNCTION("""COMPUTED_VALUE"""),209.0)</f>
        <v>209</v>
      </c>
    </row>
    <row r="74">
      <c r="A74" s="203">
        <v>45094.0</v>
      </c>
      <c r="B74" s="204" t="s">
        <v>85</v>
      </c>
      <c r="C74" s="227">
        <v>4.0</v>
      </c>
      <c r="D74" s="223">
        <v>5.0</v>
      </c>
      <c r="E74" s="228" t="s">
        <v>157</v>
      </c>
      <c r="G74" s="222">
        <v>215.0</v>
      </c>
      <c r="H74" s="223">
        <v>209.0</v>
      </c>
      <c r="J74" s="224">
        <f>IFERROR(__xludf.DUMMYFUNCTION("""COMPUTED_VALUE"""),45094.0)</f>
        <v>45094</v>
      </c>
      <c r="K74" s="230">
        <f>IFERROR(__xludf.DUMMYFUNCTION("""COMPUTED_VALUE"""),215.0)</f>
        <v>215</v>
      </c>
      <c r="L74" s="231">
        <f>IFERROR(__xludf.DUMMYFUNCTION("""COMPUTED_VALUE"""),209.0)</f>
        <v>209</v>
      </c>
    </row>
    <row r="75">
      <c r="A75" s="203">
        <v>45094.0</v>
      </c>
      <c r="B75" s="204" t="s">
        <v>175</v>
      </c>
      <c r="C75" s="227">
        <v>10.0</v>
      </c>
      <c r="D75" s="223">
        <v>12.0</v>
      </c>
      <c r="E75" s="228" t="s">
        <v>157</v>
      </c>
      <c r="G75" s="222">
        <v>216.0</v>
      </c>
      <c r="H75" s="223">
        <v>209.0</v>
      </c>
      <c r="J75" s="224">
        <f>IFERROR(__xludf.DUMMYFUNCTION("""COMPUTED_VALUE"""),45094.0)</f>
        <v>45094</v>
      </c>
      <c r="K75" s="230">
        <f>IFERROR(__xludf.DUMMYFUNCTION("""COMPUTED_VALUE"""),216.0)</f>
        <v>216</v>
      </c>
      <c r="L75" s="231">
        <f>IFERROR(__xludf.DUMMYFUNCTION("""COMPUTED_VALUE"""),209.0)</f>
        <v>209</v>
      </c>
    </row>
    <row r="76">
      <c r="A76" s="203">
        <v>45094.0</v>
      </c>
      <c r="B76" s="204" t="s">
        <v>175</v>
      </c>
      <c r="C76" s="227">
        <v>10.0</v>
      </c>
      <c r="D76" s="223">
        <v>13.0</v>
      </c>
      <c r="E76" s="228" t="s">
        <v>158</v>
      </c>
      <c r="G76" s="222">
        <v>216.0</v>
      </c>
      <c r="H76" s="223">
        <v>210.0</v>
      </c>
      <c r="J76" s="224">
        <f>IFERROR(__xludf.DUMMYFUNCTION("""COMPUTED_VALUE"""),45094.0)</f>
        <v>45094</v>
      </c>
      <c r="K76" s="230">
        <f>IFERROR(__xludf.DUMMYFUNCTION("""COMPUTED_VALUE"""),216.0)</f>
        <v>216</v>
      </c>
      <c r="L76" s="231">
        <f>IFERROR(__xludf.DUMMYFUNCTION("""COMPUTED_VALUE"""),210.0)</f>
        <v>210</v>
      </c>
    </row>
    <row r="77">
      <c r="A77" s="203">
        <v>45094.0</v>
      </c>
      <c r="B77" s="204" t="s">
        <v>1</v>
      </c>
      <c r="C77" s="227">
        <v>11.0</v>
      </c>
      <c r="D77" s="223">
        <v>19.0</v>
      </c>
      <c r="E77" s="228" t="s">
        <v>158</v>
      </c>
      <c r="G77" s="222">
        <v>216.0</v>
      </c>
      <c r="H77" s="223">
        <v>211.0</v>
      </c>
      <c r="J77" s="224">
        <f>IFERROR(__xludf.DUMMYFUNCTION("""COMPUTED_VALUE"""),45094.0)</f>
        <v>45094</v>
      </c>
      <c r="K77" s="230">
        <f>IFERROR(__xludf.DUMMYFUNCTION("""COMPUTED_VALUE"""),216.0)</f>
        <v>216</v>
      </c>
      <c r="L77" s="231">
        <f>IFERROR(__xludf.DUMMYFUNCTION("""COMPUTED_VALUE"""),211.0)</f>
        <v>211</v>
      </c>
    </row>
    <row r="78">
      <c r="A78" s="203">
        <v>45094.0</v>
      </c>
      <c r="B78" s="204" t="s">
        <v>186</v>
      </c>
      <c r="C78" s="227">
        <v>12.0</v>
      </c>
      <c r="D78" s="223">
        <v>5.0</v>
      </c>
      <c r="E78" s="228" t="s">
        <v>157</v>
      </c>
      <c r="G78" s="222">
        <v>217.0</v>
      </c>
      <c r="H78" s="223">
        <v>211.0</v>
      </c>
      <c r="J78" s="224">
        <f>IFERROR(__xludf.DUMMYFUNCTION("""COMPUTED_VALUE"""),45094.0)</f>
        <v>45094</v>
      </c>
      <c r="K78" s="230">
        <f>IFERROR(__xludf.DUMMYFUNCTION("""COMPUTED_VALUE"""),217.0)</f>
        <v>217</v>
      </c>
      <c r="L78" s="231">
        <f>IFERROR(__xludf.DUMMYFUNCTION("""COMPUTED_VALUE"""),211.0)</f>
        <v>211</v>
      </c>
    </row>
    <row r="79">
      <c r="A79" s="203">
        <v>45108.0</v>
      </c>
      <c r="B79" s="204" t="s">
        <v>67</v>
      </c>
      <c r="C79" s="227">
        <v>14.0</v>
      </c>
      <c r="D79" s="223">
        <v>20.0</v>
      </c>
      <c r="E79" s="228" t="s">
        <v>158</v>
      </c>
      <c r="G79" s="222">
        <v>217.0</v>
      </c>
      <c r="H79" s="223">
        <v>212.0</v>
      </c>
      <c r="J79" s="224">
        <f>IFERROR(__xludf.DUMMYFUNCTION("""COMPUTED_VALUE"""),45108.0)</f>
        <v>45108</v>
      </c>
      <c r="K79" s="230">
        <f>IFERROR(__xludf.DUMMYFUNCTION("""COMPUTED_VALUE"""),217.0)</f>
        <v>217</v>
      </c>
      <c r="L79" s="231">
        <f>IFERROR(__xludf.DUMMYFUNCTION("""COMPUTED_VALUE"""),212.0)</f>
        <v>212</v>
      </c>
    </row>
    <row r="80">
      <c r="A80" s="203">
        <v>45108.0</v>
      </c>
      <c r="B80" s="204" t="s">
        <v>172</v>
      </c>
      <c r="C80" s="227">
        <v>12.0</v>
      </c>
      <c r="D80" s="223">
        <v>13.0</v>
      </c>
      <c r="E80" s="228" t="s">
        <v>157</v>
      </c>
      <c r="G80" s="222">
        <v>218.0</v>
      </c>
      <c r="H80" s="223">
        <v>212.0</v>
      </c>
      <c r="J80" s="224">
        <f>IFERROR(__xludf.DUMMYFUNCTION("""COMPUTED_VALUE"""),45108.0)</f>
        <v>45108</v>
      </c>
      <c r="K80" s="230">
        <f>IFERROR(__xludf.DUMMYFUNCTION("""COMPUTED_VALUE"""),218.0)</f>
        <v>218</v>
      </c>
      <c r="L80" s="231">
        <f>IFERROR(__xludf.DUMMYFUNCTION("""COMPUTED_VALUE"""),212.0)</f>
        <v>212</v>
      </c>
    </row>
    <row r="81">
      <c r="A81" s="203">
        <v>45111.0</v>
      </c>
      <c r="B81" s="204" t="s">
        <v>181</v>
      </c>
      <c r="C81" s="227">
        <v>10.0</v>
      </c>
      <c r="D81" s="223">
        <v>5.0</v>
      </c>
      <c r="E81" s="228" t="s">
        <v>158</v>
      </c>
      <c r="G81" s="222">
        <v>218.0</v>
      </c>
      <c r="H81" s="223">
        <v>213.0</v>
      </c>
      <c r="J81" s="224">
        <f>IFERROR(__xludf.DUMMYFUNCTION("""COMPUTED_VALUE"""),45111.0)</f>
        <v>45111</v>
      </c>
      <c r="K81" s="230">
        <f>IFERROR(__xludf.DUMMYFUNCTION("""COMPUTED_VALUE"""),218.0)</f>
        <v>218</v>
      </c>
      <c r="L81" s="231">
        <f>IFERROR(__xludf.DUMMYFUNCTION("""COMPUTED_VALUE"""),213.0)</f>
        <v>213</v>
      </c>
    </row>
    <row r="82">
      <c r="A82" s="203">
        <v>45115.0</v>
      </c>
      <c r="B82" s="204" t="s">
        <v>64</v>
      </c>
      <c r="C82" s="227">
        <v>11.0</v>
      </c>
      <c r="D82" s="223">
        <v>7.0</v>
      </c>
      <c r="E82" s="228" t="s">
        <v>158</v>
      </c>
      <c r="G82" s="222">
        <v>218.0</v>
      </c>
      <c r="H82" s="223">
        <v>214.0</v>
      </c>
      <c r="J82" s="224">
        <f>IFERROR(__xludf.DUMMYFUNCTION("""COMPUTED_VALUE"""),45115.0)</f>
        <v>45115</v>
      </c>
      <c r="K82" s="230">
        <f>IFERROR(__xludf.DUMMYFUNCTION("""COMPUTED_VALUE"""),218.0)</f>
        <v>218</v>
      </c>
      <c r="L82" s="231">
        <f>IFERROR(__xludf.DUMMYFUNCTION("""COMPUTED_VALUE"""),214.0)</f>
        <v>214</v>
      </c>
    </row>
    <row r="83">
      <c r="A83" s="203">
        <v>45122.0</v>
      </c>
      <c r="B83" s="204" t="s">
        <v>2</v>
      </c>
      <c r="C83" s="227">
        <v>2.0</v>
      </c>
      <c r="D83" s="223">
        <v>3.0</v>
      </c>
      <c r="E83" s="228" t="s">
        <v>158</v>
      </c>
      <c r="G83" s="222">
        <v>218.0</v>
      </c>
      <c r="H83" s="223">
        <v>215.0</v>
      </c>
      <c r="J83" s="224">
        <f>IFERROR(__xludf.DUMMYFUNCTION("""COMPUTED_VALUE"""),45122.0)</f>
        <v>45122</v>
      </c>
      <c r="K83" s="230">
        <f>IFERROR(__xludf.DUMMYFUNCTION("""COMPUTED_VALUE"""),218.0)</f>
        <v>218</v>
      </c>
      <c r="L83" s="231">
        <f>IFERROR(__xludf.DUMMYFUNCTION("""COMPUTED_VALUE"""),215.0)</f>
        <v>215</v>
      </c>
    </row>
    <row r="84">
      <c r="A84" s="203">
        <v>45122.0</v>
      </c>
      <c r="B84" s="204" t="s">
        <v>2</v>
      </c>
      <c r="C84" s="227">
        <v>2.0</v>
      </c>
      <c r="D84" s="223">
        <v>4.0</v>
      </c>
      <c r="E84" s="228" t="s">
        <v>158</v>
      </c>
      <c r="G84" s="222">
        <v>218.0</v>
      </c>
      <c r="H84" s="223">
        <v>216.0</v>
      </c>
      <c r="J84" s="224">
        <f>IFERROR(__xludf.DUMMYFUNCTION("""COMPUTED_VALUE"""),45122.0)</f>
        <v>45122</v>
      </c>
      <c r="K84" s="230">
        <f>IFERROR(__xludf.DUMMYFUNCTION("""COMPUTED_VALUE"""),218.0)</f>
        <v>218</v>
      </c>
      <c r="L84" s="231">
        <f>IFERROR(__xludf.DUMMYFUNCTION("""COMPUTED_VALUE"""),216.0)</f>
        <v>216</v>
      </c>
    </row>
    <row r="85">
      <c r="A85" s="203">
        <v>45122.0</v>
      </c>
      <c r="B85" s="204" t="s">
        <v>165</v>
      </c>
      <c r="C85" s="227">
        <v>14.0</v>
      </c>
      <c r="D85" s="223">
        <v>22.0</v>
      </c>
      <c r="E85" s="228" t="s">
        <v>158</v>
      </c>
      <c r="G85" s="222">
        <v>218.0</v>
      </c>
      <c r="H85" s="223">
        <v>217.0</v>
      </c>
      <c r="J85" s="224">
        <f>IFERROR(__xludf.DUMMYFUNCTION("""COMPUTED_VALUE"""),45122.0)</f>
        <v>45122</v>
      </c>
      <c r="K85" s="230">
        <f>IFERROR(__xludf.DUMMYFUNCTION("""COMPUTED_VALUE"""),218.0)</f>
        <v>218</v>
      </c>
      <c r="L85" s="231">
        <f>IFERROR(__xludf.DUMMYFUNCTION("""COMPUTED_VALUE"""),217.0)</f>
        <v>217</v>
      </c>
    </row>
    <row r="86">
      <c r="A86" s="203">
        <v>45122.0</v>
      </c>
      <c r="B86" s="204" t="s">
        <v>178</v>
      </c>
      <c r="C86" s="227">
        <v>7.0</v>
      </c>
      <c r="D86" s="223">
        <v>7.0</v>
      </c>
      <c r="E86" s="228" t="s">
        <v>158</v>
      </c>
      <c r="G86" s="222">
        <v>218.0</v>
      </c>
      <c r="H86" s="223">
        <v>218.0</v>
      </c>
      <c r="J86" s="224">
        <f>IFERROR(__xludf.DUMMYFUNCTION("""COMPUTED_VALUE"""),45122.0)</f>
        <v>45122</v>
      </c>
      <c r="K86" s="230">
        <f>IFERROR(__xludf.DUMMYFUNCTION("""COMPUTED_VALUE"""),218.0)</f>
        <v>218</v>
      </c>
      <c r="L86" s="231">
        <f>IFERROR(__xludf.DUMMYFUNCTION("""COMPUTED_VALUE"""),218.0)</f>
        <v>218</v>
      </c>
    </row>
    <row r="87">
      <c r="A87" s="203">
        <v>45122.0</v>
      </c>
      <c r="B87" s="204" t="s">
        <v>178</v>
      </c>
      <c r="C87" s="227">
        <v>7.0</v>
      </c>
      <c r="D87" s="223">
        <v>8.0</v>
      </c>
      <c r="E87" s="228" t="s">
        <v>158</v>
      </c>
      <c r="G87" s="222">
        <v>218.0</v>
      </c>
      <c r="H87" s="223">
        <v>219.0</v>
      </c>
      <c r="J87" s="224">
        <f>IFERROR(__xludf.DUMMYFUNCTION("""COMPUTED_VALUE"""),45122.0)</f>
        <v>45122</v>
      </c>
      <c r="K87" s="230">
        <f>IFERROR(__xludf.DUMMYFUNCTION("""COMPUTED_VALUE"""),218.0)</f>
        <v>218</v>
      </c>
      <c r="L87" s="231">
        <f>IFERROR(__xludf.DUMMYFUNCTION("""COMPUTED_VALUE"""),219.0)</f>
        <v>219</v>
      </c>
    </row>
    <row r="88">
      <c r="A88" s="203">
        <v>45122.0</v>
      </c>
      <c r="B88" s="204" t="s">
        <v>181</v>
      </c>
      <c r="C88" s="227">
        <v>11.0</v>
      </c>
      <c r="D88" s="223">
        <v>5.0</v>
      </c>
      <c r="E88" s="228" t="s">
        <v>157</v>
      </c>
      <c r="G88" s="222">
        <v>219.0</v>
      </c>
      <c r="H88" s="223">
        <v>219.0</v>
      </c>
      <c r="J88" s="224">
        <f>IFERROR(__xludf.DUMMYFUNCTION("""COMPUTED_VALUE"""),45122.0)</f>
        <v>45122</v>
      </c>
      <c r="K88" s="230">
        <f>IFERROR(__xludf.DUMMYFUNCTION("""COMPUTED_VALUE"""),219.0)</f>
        <v>219</v>
      </c>
      <c r="L88" s="231">
        <f>IFERROR(__xludf.DUMMYFUNCTION("""COMPUTED_VALUE"""),219.0)</f>
        <v>219</v>
      </c>
    </row>
    <row r="89">
      <c r="A89" s="203">
        <v>45122.0</v>
      </c>
      <c r="B89" s="204" t="s">
        <v>3</v>
      </c>
      <c r="C89" s="227">
        <v>10.0</v>
      </c>
      <c r="D89" s="223">
        <v>14.0</v>
      </c>
      <c r="E89" s="228" t="s">
        <v>158</v>
      </c>
      <c r="G89" s="222">
        <v>219.0</v>
      </c>
      <c r="H89" s="223">
        <v>220.0</v>
      </c>
      <c r="J89" s="224">
        <f>IFERROR(__xludf.DUMMYFUNCTION("""COMPUTED_VALUE"""),45122.0)</f>
        <v>45122</v>
      </c>
      <c r="K89" s="230">
        <f>IFERROR(__xludf.DUMMYFUNCTION("""COMPUTED_VALUE"""),219.0)</f>
        <v>219</v>
      </c>
      <c r="L89" s="231">
        <f>IFERROR(__xludf.DUMMYFUNCTION("""COMPUTED_VALUE"""),220.0)</f>
        <v>220</v>
      </c>
    </row>
    <row r="90">
      <c r="A90" s="203">
        <v>45122.0</v>
      </c>
      <c r="B90" s="204" t="s">
        <v>38</v>
      </c>
      <c r="C90" s="227">
        <v>6.0</v>
      </c>
      <c r="D90" s="223">
        <v>6.0</v>
      </c>
      <c r="E90" s="228" t="s">
        <v>157</v>
      </c>
      <c r="G90" s="222">
        <v>220.0</v>
      </c>
      <c r="H90" s="223">
        <v>220.0</v>
      </c>
      <c r="J90" s="224">
        <f>IFERROR(__xludf.DUMMYFUNCTION("""COMPUTED_VALUE"""),45122.0)</f>
        <v>45122</v>
      </c>
      <c r="K90" s="230">
        <f>IFERROR(__xludf.DUMMYFUNCTION("""COMPUTED_VALUE"""),220.0)</f>
        <v>220</v>
      </c>
      <c r="L90" s="231">
        <f>IFERROR(__xludf.DUMMYFUNCTION("""COMPUTED_VALUE"""),220.0)</f>
        <v>220</v>
      </c>
    </row>
    <row r="91">
      <c r="A91" s="203">
        <v>45122.0</v>
      </c>
      <c r="B91" s="204" t="s">
        <v>175</v>
      </c>
      <c r="C91" s="227">
        <v>11.0</v>
      </c>
      <c r="D91" s="223">
        <v>13.0</v>
      </c>
      <c r="E91" s="228" t="s">
        <v>157</v>
      </c>
      <c r="G91" s="222">
        <v>221.0</v>
      </c>
      <c r="H91" s="223">
        <v>220.0</v>
      </c>
      <c r="J91" s="224">
        <f>IFERROR(__xludf.DUMMYFUNCTION("""COMPUTED_VALUE"""),45122.0)</f>
        <v>45122</v>
      </c>
      <c r="K91" s="230">
        <f>IFERROR(__xludf.DUMMYFUNCTION("""COMPUTED_VALUE"""),221.0)</f>
        <v>221</v>
      </c>
      <c r="L91" s="231">
        <f>IFERROR(__xludf.DUMMYFUNCTION("""COMPUTED_VALUE"""),220.0)</f>
        <v>220</v>
      </c>
    </row>
    <row r="92">
      <c r="A92" s="203">
        <v>45151.0</v>
      </c>
      <c r="B92" s="204" t="s">
        <v>177</v>
      </c>
      <c r="C92" s="227">
        <v>7.0</v>
      </c>
      <c r="D92" s="223">
        <v>14.0</v>
      </c>
      <c r="E92" s="228" t="s">
        <v>158</v>
      </c>
      <c r="G92" s="222">
        <v>221.0</v>
      </c>
      <c r="H92" s="223">
        <v>221.0</v>
      </c>
      <c r="J92" s="224">
        <f>IFERROR(__xludf.DUMMYFUNCTION("""COMPUTED_VALUE"""),45151.0)</f>
        <v>45151</v>
      </c>
      <c r="K92" s="230">
        <f>IFERROR(__xludf.DUMMYFUNCTION("""COMPUTED_VALUE"""),221.0)</f>
        <v>221</v>
      </c>
      <c r="L92" s="231">
        <f>IFERROR(__xludf.DUMMYFUNCTION("""COMPUTED_VALUE"""),221.0)</f>
        <v>221</v>
      </c>
    </row>
    <row r="93">
      <c r="A93" s="203">
        <v>45151.0</v>
      </c>
      <c r="B93" s="204" t="s">
        <v>85</v>
      </c>
      <c r="C93" s="227">
        <v>4.0</v>
      </c>
      <c r="D93" s="223">
        <v>6.0</v>
      </c>
      <c r="E93" s="228" t="s">
        <v>158</v>
      </c>
      <c r="G93" s="222">
        <v>221.0</v>
      </c>
      <c r="H93" s="223">
        <v>222.0</v>
      </c>
      <c r="J93" s="224">
        <f>IFERROR(__xludf.DUMMYFUNCTION("""COMPUTED_VALUE"""),45151.0)</f>
        <v>45151</v>
      </c>
      <c r="K93" s="230">
        <f>IFERROR(__xludf.DUMMYFUNCTION("""COMPUTED_VALUE"""),221.0)</f>
        <v>221</v>
      </c>
      <c r="L93" s="231">
        <f>IFERROR(__xludf.DUMMYFUNCTION("""COMPUTED_VALUE"""),222.0)</f>
        <v>222</v>
      </c>
    </row>
    <row r="94">
      <c r="A94" s="203">
        <v>45164.0</v>
      </c>
      <c r="B94" s="204" t="s">
        <v>2</v>
      </c>
      <c r="C94" s="227">
        <v>2.0</v>
      </c>
      <c r="D94" s="223">
        <v>5.0</v>
      </c>
      <c r="E94" s="228" t="s">
        <v>158</v>
      </c>
      <c r="G94" s="222">
        <v>221.0</v>
      </c>
      <c r="H94" s="223">
        <v>223.0</v>
      </c>
      <c r="J94" s="224">
        <f>IFERROR(__xludf.DUMMYFUNCTION("""COMPUTED_VALUE"""),45164.0)</f>
        <v>45164</v>
      </c>
      <c r="K94" s="230">
        <f>IFERROR(__xludf.DUMMYFUNCTION("""COMPUTED_VALUE"""),221.0)</f>
        <v>221</v>
      </c>
      <c r="L94" s="231">
        <f>IFERROR(__xludf.DUMMYFUNCTION("""COMPUTED_VALUE"""),223.0)</f>
        <v>223</v>
      </c>
    </row>
    <row r="95">
      <c r="A95" s="203">
        <v>45164.0</v>
      </c>
      <c r="B95" s="204" t="s">
        <v>84</v>
      </c>
      <c r="C95" s="227">
        <v>11.0</v>
      </c>
      <c r="D95" s="223">
        <v>7.0</v>
      </c>
      <c r="E95" s="228" t="s">
        <v>158</v>
      </c>
      <c r="G95" s="222">
        <v>221.0</v>
      </c>
      <c r="H95" s="223">
        <v>224.0</v>
      </c>
      <c r="J95" s="224">
        <f>IFERROR(__xludf.DUMMYFUNCTION("""COMPUTED_VALUE"""),45164.0)</f>
        <v>45164</v>
      </c>
      <c r="K95" s="230">
        <f>IFERROR(__xludf.DUMMYFUNCTION("""COMPUTED_VALUE"""),221.0)</f>
        <v>221</v>
      </c>
      <c r="L95" s="231">
        <f>IFERROR(__xludf.DUMMYFUNCTION("""COMPUTED_VALUE"""),224.0)</f>
        <v>224</v>
      </c>
    </row>
    <row r="96">
      <c r="A96" s="203">
        <v>45164.0</v>
      </c>
      <c r="B96" s="204" t="s">
        <v>2</v>
      </c>
      <c r="C96" s="227">
        <v>2.0</v>
      </c>
      <c r="D96" s="223">
        <v>6.0</v>
      </c>
      <c r="E96" s="228" t="s">
        <v>158</v>
      </c>
      <c r="G96" s="222">
        <v>221.0</v>
      </c>
      <c r="H96" s="223">
        <v>225.0</v>
      </c>
      <c r="J96" s="224">
        <f>IFERROR(__xludf.DUMMYFUNCTION("""COMPUTED_VALUE"""),45164.0)</f>
        <v>45164</v>
      </c>
      <c r="K96" s="230">
        <f>IFERROR(__xludf.DUMMYFUNCTION("""COMPUTED_VALUE"""),221.0)</f>
        <v>221</v>
      </c>
      <c r="L96" s="231">
        <f>IFERROR(__xludf.DUMMYFUNCTION("""COMPUTED_VALUE"""),225.0)</f>
        <v>225</v>
      </c>
    </row>
    <row r="97">
      <c r="A97" s="203">
        <v>45179.0</v>
      </c>
      <c r="B97" s="204" t="s">
        <v>165</v>
      </c>
      <c r="C97" s="227">
        <v>15.0</v>
      </c>
      <c r="D97" s="223">
        <v>22.0</v>
      </c>
      <c r="E97" s="228" t="s">
        <v>157</v>
      </c>
      <c r="G97" s="222">
        <v>222.0</v>
      </c>
      <c r="H97" s="223">
        <v>225.0</v>
      </c>
      <c r="J97" s="224">
        <f>IFERROR(__xludf.DUMMYFUNCTION("""COMPUTED_VALUE"""),45179.0)</f>
        <v>45179</v>
      </c>
      <c r="K97" s="230">
        <f>IFERROR(__xludf.DUMMYFUNCTION("""COMPUTED_VALUE"""),222.0)</f>
        <v>222</v>
      </c>
      <c r="L97" s="231">
        <f>IFERROR(__xludf.DUMMYFUNCTION("""COMPUTED_VALUE"""),225.0)</f>
        <v>225</v>
      </c>
    </row>
    <row r="98">
      <c r="A98" s="203">
        <v>45179.0</v>
      </c>
      <c r="B98" s="204" t="s">
        <v>64</v>
      </c>
      <c r="C98" s="227">
        <v>12.0</v>
      </c>
      <c r="D98" s="223">
        <v>7.0</v>
      </c>
      <c r="E98" s="228" t="s">
        <v>157</v>
      </c>
      <c r="G98" s="222">
        <v>223.0</v>
      </c>
      <c r="H98" s="223">
        <v>225.0</v>
      </c>
      <c r="J98" s="224">
        <f>IFERROR(__xludf.DUMMYFUNCTION("""COMPUTED_VALUE"""),45179.0)</f>
        <v>45179</v>
      </c>
      <c r="K98" s="230">
        <f>IFERROR(__xludf.DUMMYFUNCTION("""COMPUTED_VALUE"""),223.0)</f>
        <v>223</v>
      </c>
      <c r="L98" s="231">
        <f>IFERROR(__xludf.DUMMYFUNCTION("""COMPUTED_VALUE"""),225.0)</f>
        <v>225</v>
      </c>
    </row>
    <row r="99">
      <c r="A99" s="203">
        <v>45179.0</v>
      </c>
      <c r="B99" s="204" t="s">
        <v>134</v>
      </c>
      <c r="C99" s="227">
        <v>12.0</v>
      </c>
      <c r="D99" s="223">
        <v>4.0</v>
      </c>
      <c r="E99" s="228" t="s">
        <v>158</v>
      </c>
      <c r="G99" s="222">
        <v>223.0</v>
      </c>
      <c r="H99" s="223">
        <v>226.0</v>
      </c>
      <c r="J99" s="224">
        <f>IFERROR(__xludf.DUMMYFUNCTION("""COMPUTED_VALUE"""),45179.0)</f>
        <v>45179</v>
      </c>
      <c r="K99" s="230">
        <f>IFERROR(__xludf.DUMMYFUNCTION("""COMPUTED_VALUE"""),223.0)</f>
        <v>223</v>
      </c>
      <c r="L99" s="231">
        <f>IFERROR(__xludf.DUMMYFUNCTION("""COMPUTED_VALUE"""),226.0)</f>
        <v>226</v>
      </c>
    </row>
    <row r="100">
      <c r="A100" s="203">
        <v>45179.0</v>
      </c>
      <c r="B100" s="204" t="s">
        <v>39</v>
      </c>
      <c r="C100" s="227">
        <v>7.0</v>
      </c>
      <c r="D100" s="223">
        <v>3.0</v>
      </c>
      <c r="E100" s="228" t="s">
        <v>157</v>
      </c>
      <c r="G100" s="222">
        <v>224.0</v>
      </c>
      <c r="H100" s="223">
        <v>226.0</v>
      </c>
      <c r="J100" s="224">
        <f>IFERROR(__xludf.DUMMYFUNCTION("""COMPUTED_VALUE"""),45179.0)</f>
        <v>45179</v>
      </c>
      <c r="K100" s="230">
        <f>IFERROR(__xludf.DUMMYFUNCTION("""COMPUTED_VALUE"""),224.0)</f>
        <v>224</v>
      </c>
      <c r="L100" s="231">
        <f>IFERROR(__xludf.DUMMYFUNCTION("""COMPUTED_VALUE"""),226.0)</f>
        <v>226</v>
      </c>
    </row>
    <row r="101">
      <c r="A101" s="203">
        <v>45179.0</v>
      </c>
      <c r="B101" s="204" t="s">
        <v>3</v>
      </c>
      <c r="C101" s="227">
        <v>10.0</v>
      </c>
      <c r="D101" s="223">
        <v>15.0</v>
      </c>
      <c r="E101" s="228" t="s">
        <v>158</v>
      </c>
      <c r="G101" s="222">
        <v>224.0</v>
      </c>
      <c r="H101" s="223">
        <v>227.0</v>
      </c>
      <c r="J101" s="224">
        <f>IFERROR(__xludf.DUMMYFUNCTION("""COMPUTED_VALUE"""),45179.0)</f>
        <v>45179</v>
      </c>
      <c r="K101" s="230">
        <f>IFERROR(__xludf.DUMMYFUNCTION("""COMPUTED_VALUE"""),224.0)</f>
        <v>224</v>
      </c>
      <c r="L101" s="231">
        <f>IFERROR(__xludf.DUMMYFUNCTION("""COMPUTED_VALUE"""),227.0)</f>
        <v>227</v>
      </c>
    </row>
    <row r="102">
      <c r="A102" s="203">
        <v>45182.0</v>
      </c>
      <c r="B102" s="204" t="s">
        <v>115</v>
      </c>
      <c r="C102" s="227">
        <v>4.0</v>
      </c>
      <c r="D102" s="223">
        <v>11.0</v>
      </c>
      <c r="E102" s="228" t="s">
        <v>158</v>
      </c>
      <c r="G102" s="222">
        <v>224.0</v>
      </c>
      <c r="H102" s="223">
        <v>228.0</v>
      </c>
      <c r="J102" s="224">
        <f>IFERROR(__xludf.DUMMYFUNCTION("""COMPUTED_VALUE"""),45182.0)</f>
        <v>45182</v>
      </c>
      <c r="K102" s="230">
        <f>IFERROR(__xludf.DUMMYFUNCTION("""COMPUTED_VALUE"""),224.0)</f>
        <v>224</v>
      </c>
      <c r="L102" s="231">
        <f>IFERROR(__xludf.DUMMYFUNCTION("""COMPUTED_VALUE"""),228.0)</f>
        <v>228</v>
      </c>
    </row>
    <row r="103">
      <c r="A103" s="203">
        <v>45182.0</v>
      </c>
      <c r="B103" s="204" t="s">
        <v>178</v>
      </c>
      <c r="C103" s="227">
        <v>8.0</v>
      </c>
      <c r="D103" s="204">
        <v>8.0</v>
      </c>
      <c r="E103" s="228" t="s">
        <v>157</v>
      </c>
      <c r="G103" s="222">
        <v>225.0</v>
      </c>
      <c r="H103" s="223">
        <v>228.0</v>
      </c>
      <c r="J103" s="224">
        <f>IFERROR(__xludf.DUMMYFUNCTION("""COMPUTED_VALUE"""),45182.0)</f>
        <v>45182</v>
      </c>
      <c r="K103" s="230">
        <f>IFERROR(__xludf.DUMMYFUNCTION("""COMPUTED_VALUE"""),225.0)</f>
        <v>225</v>
      </c>
      <c r="L103" s="231">
        <f>IFERROR(__xludf.DUMMYFUNCTION("""COMPUTED_VALUE"""),228.0)</f>
        <v>228</v>
      </c>
    </row>
    <row r="104">
      <c r="A104" s="203">
        <v>45186.0</v>
      </c>
      <c r="B104" s="204" t="s">
        <v>186</v>
      </c>
      <c r="C104" s="227">
        <v>13.0</v>
      </c>
      <c r="D104" s="223">
        <v>5.0</v>
      </c>
      <c r="E104" s="228" t="s">
        <v>157</v>
      </c>
      <c r="G104" s="222">
        <v>226.0</v>
      </c>
      <c r="H104" s="223">
        <v>228.0</v>
      </c>
      <c r="J104" s="224">
        <f>IFERROR(__xludf.DUMMYFUNCTION("""COMPUTED_VALUE"""),45186.0)</f>
        <v>45186</v>
      </c>
      <c r="K104" s="230">
        <f>IFERROR(__xludf.DUMMYFUNCTION("""COMPUTED_VALUE"""),226.0)</f>
        <v>226</v>
      </c>
      <c r="L104" s="231">
        <f>IFERROR(__xludf.DUMMYFUNCTION("""COMPUTED_VALUE"""),228.0)</f>
        <v>228</v>
      </c>
    </row>
    <row r="105">
      <c r="A105" s="203">
        <v>45186.0</v>
      </c>
      <c r="B105" s="204" t="s">
        <v>38</v>
      </c>
      <c r="C105" s="227">
        <v>6.0</v>
      </c>
      <c r="D105" s="223">
        <v>7.0</v>
      </c>
      <c r="E105" s="228" t="s">
        <v>158</v>
      </c>
      <c r="G105" s="222">
        <v>226.0</v>
      </c>
      <c r="H105" s="223">
        <v>229.0</v>
      </c>
      <c r="J105" s="224">
        <f>IFERROR(__xludf.DUMMYFUNCTION("""COMPUTED_VALUE"""),45186.0)</f>
        <v>45186</v>
      </c>
      <c r="K105" s="230">
        <f>IFERROR(__xludf.DUMMYFUNCTION("""COMPUTED_VALUE"""),226.0)</f>
        <v>226</v>
      </c>
      <c r="L105" s="231">
        <f>IFERROR(__xludf.DUMMYFUNCTION("""COMPUTED_VALUE"""),229.0)</f>
        <v>229</v>
      </c>
    </row>
    <row r="106">
      <c r="A106" s="203">
        <v>45186.0</v>
      </c>
      <c r="B106" s="204" t="s">
        <v>39</v>
      </c>
      <c r="C106" s="227">
        <v>7.0</v>
      </c>
      <c r="D106" s="223">
        <v>4.0</v>
      </c>
      <c r="E106" s="228" t="s">
        <v>158</v>
      </c>
      <c r="G106" s="222">
        <v>226.0</v>
      </c>
      <c r="H106" s="223">
        <v>230.0</v>
      </c>
      <c r="J106" s="224">
        <f>IFERROR(__xludf.DUMMYFUNCTION("""COMPUTED_VALUE"""),45186.0)</f>
        <v>45186</v>
      </c>
      <c r="K106" s="230">
        <f>IFERROR(__xludf.DUMMYFUNCTION("""COMPUTED_VALUE"""),226.0)</f>
        <v>226</v>
      </c>
      <c r="L106" s="231">
        <f>IFERROR(__xludf.DUMMYFUNCTION("""COMPUTED_VALUE"""),230.0)</f>
        <v>230</v>
      </c>
    </row>
    <row r="107">
      <c r="A107" s="203">
        <v>45186.0</v>
      </c>
      <c r="B107" s="204" t="s">
        <v>186</v>
      </c>
      <c r="C107" s="227">
        <v>13.0</v>
      </c>
      <c r="D107" s="223">
        <v>6.0</v>
      </c>
      <c r="E107" s="228" t="s">
        <v>158</v>
      </c>
      <c r="G107" s="222">
        <v>226.0</v>
      </c>
      <c r="H107" s="223">
        <v>231.0</v>
      </c>
      <c r="J107" s="224">
        <f>IFERROR(__xludf.DUMMYFUNCTION("""COMPUTED_VALUE"""),45186.0)</f>
        <v>45186</v>
      </c>
      <c r="K107" s="230">
        <f>IFERROR(__xludf.DUMMYFUNCTION("""COMPUTED_VALUE"""),226.0)</f>
        <v>226</v>
      </c>
      <c r="L107" s="231">
        <f>IFERROR(__xludf.DUMMYFUNCTION("""COMPUTED_VALUE"""),231.0)</f>
        <v>231</v>
      </c>
    </row>
    <row r="108">
      <c r="A108" s="203">
        <v>45186.0</v>
      </c>
      <c r="B108" s="204" t="s">
        <v>39</v>
      </c>
      <c r="C108" s="227">
        <v>8.0</v>
      </c>
      <c r="D108" s="223">
        <v>4.0</v>
      </c>
      <c r="E108" s="228" t="s">
        <v>157</v>
      </c>
      <c r="G108" s="222">
        <v>227.0</v>
      </c>
      <c r="H108" s="223">
        <v>231.0</v>
      </c>
      <c r="J108" s="224">
        <f>IFERROR(__xludf.DUMMYFUNCTION("""COMPUTED_VALUE"""),45186.0)</f>
        <v>45186</v>
      </c>
      <c r="K108" s="230">
        <f>IFERROR(__xludf.DUMMYFUNCTION("""COMPUTED_VALUE"""),227.0)</f>
        <v>227</v>
      </c>
      <c r="L108" s="231">
        <f>IFERROR(__xludf.DUMMYFUNCTION("""COMPUTED_VALUE"""),231.0)</f>
        <v>231</v>
      </c>
    </row>
    <row r="109">
      <c r="A109" s="203">
        <v>45186.0</v>
      </c>
      <c r="B109" s="204" t="s">
        <v>175</v>
      </c>
      <c r="C109" s="227">
        <v>11.0</v>
      </c>
      <c r="D109" s="223">
        <v>14.0</v>
      </c>
      <c r="E109" s="228" t="s">
        <v>158</v>
      </c>
      <c r="G109" s="222">
        <v>227.0</v>
      </c>
      <c r="H109" s="223">
        <v>232.0</v>
      </c>
      <c r="J109" s="224">
        <f>IFERROR(__xludf.DUMMYFUNCTION("""COMPUTED_VALUE"""),45186.0)</f>
        <v>45186</v>
      </c>
      <c r="K109" s="230">
        <f>IFERROR(__xludf.DUMMYFUNCTION("""COMPUTED_VALUE"""),227.0)</f>
        <v>227</v>
      </c>
      <c r="L109" s="231">
        <f>IFERROR(__xludf.DUMMYFUNCTION("""COMPUTED_VALUE"""),232.0)</f>
        <v>232</v>
      </c>
    </row>
    <row r="110">
      <c r="A110" s="203">
        <v>45186.0</v>
      </c>
      <c r="B110" s="204" t="s">
        <v>113</v>
      </c>
      <c r="C110" s="227">
        <v>11.0</v>
      </c>
      <c r="D110" s="223">
        <v>7.0</v>
      </c>
      <c r="E110" s="228" t="s">
        <v>158</v>
      </c>
      <c r="G110" s="222">
        <v>227.0</v>
      </c>
      <c r="H110" s="223">
        <v>233.0</v>
      </c>
      <c r="J110" s="224">
        <f>IFERROR(__xludf.DUMMYFUNCTION("""COMPUTED_VALUE"""),45186.0)</f>
        <v>45186</v>
      </c>
      <c r="K110" s="230">
        <f>IFERROR(__xludf.DUMMYFUNCTION("""COMPUTED_VALUE"""),227.0)</f>
        <v>227</v>
      </c>
      <c r="L110" s="231">
        <f>IFERROR(__xludf.DUMMYFUNCTION("""COMPUTED_VALUE"""),233.0)</f>
        <v>233</v>
      </c>
    </row>
    <row r="111">
      <c r="A111" s="203">
        <v>45189.0</v>
      </c>
      <c r="B111" s="204" t="s">
        <v>180</v>
      </c>
      <c r="C111" s="227">
        <v>10.0</v>
      </c>
      <c r="D111" s="223">
        <v>6.0</v>
      </c>
      <c r="E111" s="228" t="s">
        <v>158</v>
      </c>
      <c r="G111" s="222">
        <v>227.0</v>
      </c>
      <c r="H111" s="223">
        <v>234.0</v>
      </c>
      <c r="J111" s="224">
        <f>IFERROR(__xludf.DUMMYFUNCTION("""COMPUTED_VALUE"""),45189.0)</f>
        <v>45189</v>
      </c>
      <c r="K111" s="230">
        <f>IFERROR(__xludf.DUMMYFUNCTION("""COMPUTED_VALUE"""),227.0)</f>
        <v>227</v>
      </c>
      <c r="L111" s="231">
        <f>IFERROR(__xludf.DUMMYFUNCTION("""COMPUTED_VALUE"""),234.0)</f>
        <v>234</v>
      </c>
    </row>
    <row r="112">
      <c r="A112" s="203">
        <v>45190.0</v>
      </c>
      <c r="B112" s="204" t="s">
        <v>178</v>
      </c>
      <c r="C112" s="227">
        <v>9.0</v>
      </c>
      <c r="D112" s="223">
        <v>8.0</v>
      </c>
      <c r="E112" s="228" t="s">
        <v>157</v>
      </c>
      <c r="G112" s="222">
        <v>228.0</v>
      </c>
      <c r="H112" s="223">
        <v>234.0</v>
      </c>
      <c r="J112" s="224">
        <f>IFERROR(__xludf.DUMMYFUNCTION("""COMPUTED_VALUE"""),45190.0)</f>
        <v>45190</v>
      </c>
      <c r="K112" s="230">
        <f>IFERROR(__xludf.DUMMYFUNCTION("""COMPUTED_VALUE"""),228.0)</f>
        <v>228</v>
      </c>
      <c r="L112" s="231">
        <f>IFERROR(__xludf.DUMMYFUNCTION("""COMPUTED_VALUE"""),234.0)</f>
        <v>234</v>
      </c>
    </row>
    <row r="113">
      <c r="A113" s="203">
        <v>45194.0</v>
      </c>
      <c r="B113" s="204" t="s">
        <v>179</v>
      </c>
      <c r="C113" s="227">
        <v>9.0</v>
      </c>
      <c r="D113" s="223">
        <v>8.0</v>
      </c>
      <c r="E113" s="228" t="s">
        <v>158</v>
      </c>
      <c r="G113" s="222">
        <v>228.0</v>
      </c>
      <c r="H113" s="223">
        <v>235.0</v>
      </c>
      <c r="J113" s="224">
        <f>IFERROR(__xludf.DUMMYFUNCTION("""COMPUTED_VALUE"""),45194.0)</f>
        <v>45194</v>
      </c>
      <c r="K113" s="230">
        <f>IFERROR(__xludf.DUMMYFUNCTION("""COMPUTED_VALUE"""),228.0)</f>
        <v>228</v>
      </c>
      <c r="L113" s="231">
        <f>IFERROR(__xludf.DUMMYFUNCTION("""COMPUTED_VALUE"""),235.0)</f>
        <v>235</v>
      </c>
    </row>
    <row r="114">
      <c r="A114" s="203">
        <v>45194.0</v>
      </c>
      <c r="B114" s="204" t="s">
        <v>107</v>
      </c>
      <c r="C114" s="227">
        <v>9.0</v>
      </c>
      <c r="D114" s="223">
        <v>19.0</v>
      </c>
      <c r="E114" s="228" t="s">
        <v>158</v>
      </c>
      <c r="G114" s="222">
        <v>228.0</v>
      </c>
      <c r="H114" s="223">
        <v>236.0</v>
      </c>
      <c r="J114" s="224">
        <f>IFERROR(__xludf.DUMMYFUNCTION("""COMPUTED_VALUE"""),45194.0)</f>
        <v>45194</v>
      </c>
      <c r="K114" s="230">
        <f>IFERROR(__xludf.DUMMYFUNCTION("""COMPUTED_VALUE"""),228.0)</f>
        <v>228</v>
      </c>
      <c r="L114" s="231">
        <f>IFERROR(__xludf.DUMMYFUNCTION("""COMPUTED_VALUE"""),236.0)</f>
        <v>236</v>
      </c>
    </row>
    <row r="115">
      <c r="A115" s="203">
        <v>45194.0</v>
      </c>
      <c r="B115" s="204" t="s">
        <v>172</v>
      </c>
      <c r="C115" s="227">
        <v>13.0</v>
      </c>
      <c r="D115" s="223">
        <v>13.0</v>
      </c>
      <c r="E115" s="228" t="s">
        <v>157</v>
      </c>
      <c r="G115" s="222">
        <v>229.0</v>
      </c>
      <c r="H115" s="223">
        <v>236.0</v>
      </c>
      <c r="J115" s="224">
        <f>IFERROR(__xludf.DUMMYFUNCTION("""COMPUTED_VALUE"""),45194.0)</f>
        <v>45194</v>
      </c>
      <c r="K115" s="230">
        <f>IFERROR(__xludf.DUMMYFUNCTION("""COMPUTED_VALUE"""),229.0)</f>
        <v>229</v>
      </c>
      <c r="L115" s="231">
        <f>IFERROR(__xludf.DUMMYFUNCTION("""COMPUTED_VALUE"""),236.0)</f>
        <v>236</v>
      </c>
    </row>
    <row r="116">
      <c r="A116" s="203">
        <v>45194.0</v>
      </c>
      <c r="B116" s="204" t="s">
        <v>1</v>
      </c>
      <c r="C116" s="227">
        <v>11.0</v>
      </c>
      <c r="D116" s="223">
        <v>20.0</v>
      </c>
      <c r="E116" s="228" t="s">
        <v>158</v>
      </c>
      <c r="G116" s="222">
        <v>229.0</v>
      </c>
      <c r="H116" s="223">
        <v>237.0</v>
      </c>
      <c r="J116" s="224">
        <f>IFERROR(__xludf.DUMMYFUNCTION("""COMPUTED_VALUE"""),45194.0)</f>
        <v>45194</v>
      </c>
      <c r="K116" s="230">
        <f>IFERROR(__xludf.DUMMYFUNCTION("""COMPUTED_VALUE"""),229.0)</f>
        <v>229</v>
      </c>
      <c r="L116" s="231">
        <f>IFERROR(__xludf.DUMMYFUNCTION("""COMPUTED_VALUE"""),237.0)</f>
        <v>237</v>
      </c>
    </row>
    <row r="117">
      <c r="A117" s="203">
        <v>45194.0</v>
      </c>
      <c r="B117" s="204" t="s">
        <v>67</v>
      </c>
      <c r="C117" s="227">
        <v>14.0</v>
      </c>
      <c r="D117" s="223">
        <v>21.0</v>
      </c>
      <c r="E117" s="228" t="s">
        <v>158</v>
      </c>
      <c r="G117" s="222">
        <v>229.0</v>
      </c>
      <c r="H117" s="223">
        <v>238.0</v>
      </c>
      <c r="J117" s="224">
        <f>IFERROR(__xludf.DUMMYFUNCTION("""COMPUTED_VALUE"""),45194.0)</f>
        <v>45194</v>
      </c>
      <c r="K117" s="230">
        <f>IFERROR(__xludf.DUMMYFUNCTION("""COMPUTED_VALUE"""),229.0)</f>
        <v>229</v>
      </c>
      <c r="L117" s="231">
        <f>IFERROR(__xludf.DUMMYFUNCTION("""COMPUTED_VALUE"""),238.0)</f>
        <v>238</v>
      </c>
    </row>
    <row r="118">
      <c r="A118" s="203">
        <v>45195.0</v>
      </c>
      <c r="B118" s="204" t="s">
        <v>134</v>
      </c>
      <c r="C118" s="227">
        <v>13.0</v>
      </c>
      <c r="D118" s="223">
        <v>4.0</v>
      </c>
      <c r="E118" s="228" t="s">
        <v>157</v>
      </c>
      <c r="G118" s="222">
        <v>230.0</v>
      </c>
      <c r="H118" s="223">
        <v>238.0</v>
      </c>
      <c r="J118" s="224">
        <f>IFERROR(__xludf.DUMMYFUNCTION("""COMPUTED_VALUE"""),45195.0)</f>
        <v>45195</v>
      </c>
      <c r="K118" s="230">
        <f>IFERROR(__xludf.DUMMYFUNCTION("""COMPUTED_VALUE"""),230.0)</f>
        <v>230</v>
      </c>
      <c r="L118" s="231">
        <f>IFERROR(__xludf.DUMMYFUNCTION("""COMPUTED_VALUE"""),238.0)</f>
        <v>238</v>
      </c>
    </row>
    <row r="119">
      <c r="A119" s="232">
        <v>45214.0</v>
      </c>
      <c r="B119" s="204" t="s">
        <v>172</v>
      </c>
      <c r="C119" s="227">
        <v>13.0</v>
      </c>
      <c r="D119" s="223">
        <v>14.0</v>
      </c>
      <c r="E119" s="228" t="s">
        <v>158</v>
      </c>
      <c r="G119" s="222">
        <v>230.0</v>
      </c>
      <c r="H119" s="223">
        <v>239.0</v>
      </c>
      <c r="J119" s="224">
        <f>IFERROR(__xludf.DUMMYFUNCTION("""COMPUTED_VALUE"""),45214.0)</f>
        <v>45214</v>
      </c>
      <c r="K119" s="230">
        <f>IFERROR(__xludf.DUMMYFUNCTION("""COMPUTED_VALUE"""),230.0)</f>
        <v>230</v>
      </c>
      <c r="L119" s="231">
        <f>IFERROR(__xludf.DUMMYFUNCTION("""COMPUTED_VALUE"""),239.0)</f>
        <v>239</v>
      </c>
    </row>
    <row r="120">
      <c r="A120" s="232">
        <v>45214.0</v>
      </c>
      <c r="B120" s="204" t="s">
        <v>175</v>
      </c>
      <c r="C120" s="227">
        <v>12.0</v>
      </c>
      <c r="D120" s="223">
        <v>14.0</v>
      </c>
      <c r="E120" s="228" t="s">
        <v>157</v>
      </c>
      <c r="G120" s="222">
        <v>231.0</v>
      </c>
      <c r="H120" s="223">
        <v>239.0</v>
      </c>
      <c r="J120" s="224">
        <f>IFERROR(__xludf.DUMMYFUNCTION("""COMPUTED_VALUE"""),45214.0)</f>
        <v>45214</v>
      </c>
      <c r="K120" s="230">
        <f>IFERROR(__xludf.DUMMYFUNCTION("""COMPUTED_VALUE"""),231.0)</f>
        <v>231</v>
      </c>
      <c r="L120" s="231">
        <f>IFERROR(__xludf.DUMMYFUNCTION("""COMPUTED_VALUE"""),239.0)</f>
        <v>239</v>
      </c>
    </row>
    <row r="121">
      <c r="A121" s="232">
        <v>45227.0</v>
      </c>
      <c r="B121" s="204" t="s">
        <v>176</v>
      </c>
      <c r="C121" s="227">
        <v>11.0</v>
      </c>
      <c r="D121" s="223">
        <v>5.0</v>
      </c>
      <c r="E121" s="228" t="s">
        <v>157</v>
      </c>
      <c r="G121" s="222">
        <v>232.0</v>
      </c>
      <c r="H121" s="223">
        <v>239.0</v>
      </c>
      <c r="J121" s="224">
        <f>IFERROR(__xludf.DUMMYFUNCTION("""COMPUTED_VALUE"""),45227.0)</f>
        <v>45227</v>
      </c>
      <c r="K121" s="230">
        <f>IFERROR(__xludf.DUMMYFUNCTION("""COMPUTED_VALUE"""),232.0)</f>
        <v>232</v>
      </c>
      <c r="L121" s="231">
        <f>IFERROR(__xludf.DUMMYFUNCTION("""COMPUTED_VALUE"""),239.0)</f>
        <v>239</v>
      </c>
    </row>
    <row r="122">
      <c r="A122" s="232">
        <v>45227.0</v>
      </c>
      <c r="B122" s="204" t="s">
        <v>179</v>
      </c>
      <c r="C122" s="227">
        <v>9.0</v>
      </c>
      <c r="D122" s="223">
        <v>9.0</v>
      </c>
      <c r="E122" s="228" t="s">
        <v>158</v>
      </c>
      <c r="G122" s="222">
        <v>232.0</v>
      </c>
      <c r="H122" s="223">
        <v>240.0</v>
      </c>
      <c r="J122" s="224">
        <f>IFERROR(__xludf.DUMMYFUNCTION("""COMPUTED_VALUE"""),45227.0)</f>
        <v>45227</v>
      </c>
      <c r="K122" s="230">
        <f>IFERROR(__xludf.DUMMYFUNCTION("""COMPUTED_VALUE"""),232.0)</f>
        <v>232</v>
      </c>
      <c r="L122" s="231">
        <f>IFERROR(__xludf.DUMMYFUNCTION("""COMPUTED_VALUE"""),240.0)</f>
        <v>240</v>
      </c>
    </row>
    <row r="123">
      <c r="A123" s="232">
        <v>45227.0</v>
      </c>
      <c r="B123" s="204" t="s">
        <v>180</v>
      </c>
      <c r="C123" s="227">
        <v>10.0</v>
      </c>
      <c r="D123" s="223">
        <v>7.0</v>
      </c>
      <c r="E123" s="228" t="s">
        <v>158</v>
      </c>
      <c r="G123" s="222">
        <v>232.0</v>
      </c>
      <c r="H123" s="223">
        <v>241.0</v>
      </c>
      <c r="J123" s="224">
        <f>IFERROR(__xludf.DUMMYFUNCTION("""COMPUTED_VALUE"""),45227.0)</f>
        <v>45227</v>
      </c>
      <c r="K123" s="230">
        <f>IFERROR(__xludf.DUMMYFUNCTION("""COMPUTED_VALUE"""),232.0)</f>
        <v>232</v>
      </c>
      <c r="L123" s="231">
        <f>IFERROR(__xludf.DUMMYFUNCTION("""COMPUTED_VALUE"""),241.0)</f>
        <v>241</v>
      </c>
    </row>
    <row r="124">
      <c r="A124" s="232">
        <v>45227.0</v>
      </c>
      <c r="B124" s="204" t="s">
        <v>178</v>
      </c>
      <c r="C124" s="227">
        <v>9.0</v>
      </c>
      <c r="D124" s="223">
        <v>9.0</v>
      </c>
      <c r="E124" s="228" t="s">
        <v>158</v>
      </c>
      <c r="G124" s="222">
        <v>232.0</v>
      </c>
      <c r="H124" s="223">
        <v>242.0</v>
      </c>
      <c r="J124" s="224">
        <f>IFERROR(__xludf.DUMMYFUNCTION("""COMPUTED_VALUE"""),45227.0)</f>
        <v>45227</v>
      </c>
      <c r="K124" s="230">
        <f>IFERROR(__xludf.DUMMYFUNCTION("""COMPUTED_VALUE"""),232.0)</f>
        <v>232</v>
      </c>
      <c r="L124" s="231">
        <f>IFERROR(__xludf.DUMMYFUNCTION("""COMPUTED_VALUE"""),242.0)</f>
        <v>242</v>
      </c>
    </row>
    <row r="125">
      <c r="A125" s="232">
        <v>45227.0</v>
      </c>
      <c r="B125" s="204" t="s">
        <v>38</v>
      </c>
      <c r="C125" s="227">
        <v>7.0</v>
      </c>
      <c r="D125" s="223">
        <v>7.0</v>
      </c>
      <c r="E125" s="228" t="s">
        <v>157</v>
      </c>
      <c r="G125" s="222">
        <v>233.0</v>
      </c>
      <c r="H125" s="223">
        <v>242.0</v>
      </c>
      <c r="J125" s="224">
        <f>IFERROR(__xludf.DUMMYFUNCTION("""COMPUTED_VALUE"""),45227.0)</f>
        <v>45227</v>
      </c>
      <c r="K125" s="230">
        <f>IFERROR(__xludf.DUMMYFUNCTION("""COMPUTED_VALUE"""),233.0)</f>
        <v>233</v>
      </c>
      <c r="L125" s="231">
        <f>IFERROR(__xludf.DUMMYFUNCTION("""COMPUTED_VALUE"""),242.0)</f>
        <v>242</v>
      </c>
    </row>
    <row r="126">
      <c r="A126" s="232">
        <v>45227.0</v>
      </c>
      <c r="B126" s="204" t="s">
        <v>67</v>
      </c>
      <c r="C126" s="227">
        <v>14.0</v>
      </c>
      <c r="D126" s="223">
        <v>22.0</v>
      </c>
      <c r="E126" s="228" t="s">
        <v>158</v>
      </c>
      <c r="G126" s="222">
        <v>233.0</v>
      </c>
      <c r="H126" s="223">
        <v>243.0</v>
      </c>
      <c r="J126" s="224">
        <f>IFERROR(__xludf.DUMMYFUNCTION("""COMPUTED_VALUE"""),45227.0)</f>
        <v>45227</v>
      </c>
      <c r="K126" s="230">
        <f>IFERROR(__xludf.DUMMYFUNCTION("""COMPUTED_VALUE"""),233.0)</f>
        <v>233</v>
      </c>
      <c r="L126" s="231">
        <f>IFERROR(__xludf.DUMMYFUNCTION("""COMPUTED_VALUE"""),243.0)</f>
        <v>243</v>
      </c>
    </row>
    <row r="127">
      <c r="A127" s="232">
        <v>45227.0</v>
      </c>
      <c r="B127" s="204" t="s">
        <v>64</v>
      </c>
      <c r="C127" s="227">
        <v>12.0</v>
      </c>
      <c r="D127" s="223">
        <v>8.0</v>
      </c>
      <c r="E127" s="228" t="s">
        <v>158</v>
      </c>
      <c r="G127" s="222">
        <v>233.0</v>
      </c>
      <c r="H127" s="223">
        <v>244.0</v>
      </c>
      <c r="J127" s="224">
        <f>IFERROR(__xludf.DUMMYFUNCTION("""COMPUTED_VALUE"""),45227.0)</f>
        <v>45227</v>
      </c>
      <c r="K127" s="230">
        <f>IFERROR(__xludf.DUMMYFUNCTION("""COMPUTED_VALUE"""),233.0)</f>
        <v>233</v>
      </c>
      <c r="L127" s="231">
        <f>IFERROR(__xludf.DUMMYFUNCTION("""COMPUTED_VALUE"""),244.0)</f>
        <v>244</v>
      </c>
    </row>
    <row r="128">
      <c r="A128" s="232">
        <v>45241.0</v>
      </c>
      <c r="B128" s="204" t="s">
        <v>178</v>
      </c>
      <c r="C128" s="227">
        <v>9.0</v>
      </c>
      <c r="D128" s="223">
        <v>11.0</v>
      </c>
      <c r="E128" s="228" t="s">
        <v>158</v>
      </c>
      <c r="G128" s="222">
        <v>233.0</v>
      </c>
      <c r="H128" s="223">
        <v>246.0</v>
      </c>
      <c r="J128" s="224">
        <f>IFERROR(__xludf.DUMMYFUNCTION("""COMPUTED_VALUE"""),45241.0)</f>
        <v>45241</v>
      </c>
      <c r="K128" s="230">
        <f>IFERROR(__xludf.DUMMYFUNCTION("""COMPUTED_VALUE"""),233.0)</f>
        <v>233</v>
      </c>
      <c r="L128" s="231">
        <f>IFERROR(__xludf.DUMMYFUNCTION("""COMPUTED_VALUE"""),246.0)</f>
        <v>246</v>
      </c>
    </row>
    <row r="129">
      <c r="A129" s="232">
        <v>45241.0</v>
      </c>
      <c r="B129" s="204" t="s">
        <v>179</v>
      </c>
      <c r="C129" s="227">
        <v>9.0</v>
      </c>
      <c r="D129" s="223">
        <v>10.0</v>
      </c>
      <c r="E129" s="228" t="s">
        <v>158</v>
      </c>
      <c r="G129" s="222">
        <v>233.0</v>
      </c>
      <c r="H129" s="223">
        <v>247.0</v>
      </c>
      <c r="J129" s="224">
        <f>IFERROR(__xludf.DUMMYFUNCTION("""COMPUTED_VALUE"""),45241.0)</f>
        <v>45241</v>
      </c>
      <c r="K129" s="230">
        <f>IFERROR(__xludf.DUMMYFUNCTION("""COMPUTED_VALUE"""),233.0)</f>
        <v>233</v>
      </c>
      <c r="L129" s="231">
        <f>IFERROR(__xludf.DUMMYFUNCTION("""COMPUTED_VALUE"""),247.0)</f>
        <v>247</v>
      </c>
    </row>
    <row r="130">
      <c r="A130" s="232">
        <v>45241.0</v>
      </c>
      <c r="B130" s="204" t="s">
        <v>84</v>
      </c>
      <c r="C130" s="227">
        <v>11.0</v>
      </c>
      <c r="D130" s="204">
        <v>8.0</v>
      </c>
      <c r="E130" s="228" t="s">
        <v>158</v>
      </c>
      <c r="G130" s="222">
        <v>233.0</v>
      </c>
      <c r="H130" s="204">
        <v>248.0</v>
      </c>
      <c r="J130" s="224">
        <f>IFERROR(__xludf.DUMMYFUNCTION("""COMPUTED_VALUE"""),45241.0)</f>
        <v>45241</v>
      </c>
      <c r="K130" s="230">
        <f>IFERROR(__xludf.DUMMYFUNCTION("""COMPUTED_VALUE"""),233.0)</f>
        <v>233</v>
      </c>
      <c r="L130" s="231">
        <f>IFERROR(__xludf.DUMMYFUNCTION("""COMPUTED_VALUE"""),248.0)</f>
        <v>248</v>
      </c>
    </row>
    <row r="131">
      <c r="A131" s="232">
        <v>45249.0</v>
      </c>
      <c r="B131" s="204" t="s">
        <v>2</v>
      </c>
      <c r="C131" s="227">
        <v>2.0</v>
      </c>
      <c r="D131" s="223">
        <v>7.0</v>
      </c>
      <c r="E131" s="228" t="s">
        <v>158</v>
      </c>
      <c r="G131" s="222">
        <v>233.0</v>
      </c>
      <c r="H131" s="223">
        <v>249.0</v>
      </c>
      <c r="J131" s="224">
        <f>IFERROR(__xludf.DUMMYFUNCTION("""COMPUTED_VALUE"""),45249.0)</f>
        <v>45249</v>
      </c>
      <c r="K131" s="230">
        <f>IFERROR(__xludf.DUMMYFUNCTION("""COMPUTED_VALUE"""),233.0)</f>
        <v>233</v>
      </c>
      <c r="L131" s="231">
        <f>IFERROR(__xludf.DUMMYFUNCTION("""COMPUTED_VALUE"""),249.0)</f>
        <v>249</v>
      </c>
    </row>
    <row r="132">
      <c r="A132" s="232">
        <v>45249.0</v>
      </c>
      <c r="B132" s="204" t="s">
        <v>3</v>
      </c>
      <c r="C132" s="227">
        <v>10.0</v>
      </c>
      <c r="D132" s="223">
        <v>16.0</v>
      </c>
      <c r="E132" s="228" t="s">
        <v>158</v>
      </c>
      <c r="G132" s="222">
        <v>233.0</v>
      </c>
      <c r="H132" s="223">
        <v>250.0</v>
      </c>
      <c r="J132" s="224">
        <f>IFERROR(__xludf.DUMMYFUNCTION("""COMPUTED_VALUE"""),45249.0)</f>
        <v>45249</v>
      </c>
      <c r="K132" s="230">
        <f>IFERROR(__xludf.DUMMYFUNCTION("""COMPUTED_VALUE"""),233.0)</f>
        <v>233</v>
      </c>
      <c r="L132" s="231">
        <f>IFERROR(__xludf.DUMMYFUNCTION("""COMPUTED_VALUE"""),250.0)</f>
        <v>250</v>
      </c>
    </row>
    <row r="133">
      <c r="A133" s="203">
        <v>45267.0</v>
      </c>
      <c r="B133" s="204" t="s">
        <v>64</v>
      </c>
      <c r="C133" s="227">
        <v>12.0</v>
      </c>
      <c r="D133" s="223">
        <v>9.0</v>
      </c>
      <c r="E133" s="228" t="s">
        <v>158</v>
      </c>
      <c r="G133" s="222">
        <v>233.0</v>
      </c>
      <c r="H133" s="223">
        <v>251.0</v>
      </c>
      <c r="J133" s="224">
        <f>IFERROR(__xludf.DUMMYFUNCTION("""COMPUTED_VALUE"""),45267.0)</f>
        <v>45267</v>
      </c>
      <c r="K133" s="230">
        <f>IFERROR(__xludf.DUMMYFUNCTION("""COMPUTED_VALUE"""),233.0)</f>
        <v>233</v>
      </c>
      <c r="L133" s="231">
        <f>IFERROR(__xludf.DUMMYFUNCTION("""COMPUTED_VALUE"""),251.0)</f>
        <v>251</v>
      </c>
    </row>
    <row r="134">
      <c r="A134" s="203">
        <v>45267.0</v>
      </c>
      <c r="B134" s="204" t="s">
        <v>113</v>
      </c>
      <c r="C134" s="227">
        <v>11.0</v>
      </c>
      <c r="D134" s="223">
        <v>8.0</v>
      </c>
      <c r="E134" s="228" t="s">
        <v>158</v>
      </c>
      <c r="G134" s="222">
        <v>233.0</v>
      </c>
      <c r="H134" s="223">
        <v>252.0</v>
      </c>
      <c r="J134" s="224">
        <f>IFERROR(__xludf.DUMMYFUNCTION("""COMPUTED_VALUE"""),45267.0)</f>
        <v>45267</v>
      </c>
      <c r="K134" s="230">
        <f>IFERROR(__xludf.DUMMYFUNCTION("""COMPUTED_VALUE"""),233.0)</f>
        <v>233</v>
      </c>
      <c r="L134" s="231">
        <f>IFERROR(__xludf.DUMMYFUNCTION("""COMPUTED_VALUE"""),252.0)</f>
        <v>252</v>
      </c>
    </row>
    <row r="135">
      <c r="A135" s="203">
        <v>45267.0</v>
      </c>
      <c r="B135" s="204" t="s">
        <v>115</v>
      </c>
      <c r="C135" s="227">
        <v>5.0</v>
      </c>
      <c r="D135" s="223">
        <v>11.0</v>
      </c>
      <c r="E135" s="228" t="s">
        <v>157</v>
      </c>
      <c r="G135" s="222">
        <v>234.0</v>
      </c>
      <c r="H135" s="223">
        <v>252.0</v>
      </c>
      <c r="J135" s="224">
        <f>IFERROR(__xludf.DUMMYFUNCTION("""COMPUTED_VALUE"""),45267.0)</f>
        <v>45267</v>
      </c>
      <c r="K135" s="230">
        <f>IFERROR(__xludf.DUMMYFUNCTION("""COMPUTED_VALUE"""),234.0)</f>
        <v>234</v>
      </c>
      <c r="L135" s="231">
        <f>IFERROR(__xludf.DUMMYFUNCTION("""COMPUTED_VALUE"""),252.0)</f>
        <v>252</v>
      </c>
    </row>
    <row r="136">
      <c r="A136" s="203">
        <v>45267.0</v>
      </c>
      <c r="B136" s="204" t="s">
        <v>38</v>
      </c>
      <c r="C136" s="227">
        <v>7.0</v>
      </c>
      <c r="D136" s="223">
        <v>8.0</v>
      </c>
      <c r="E136" s="228" t="s">
        <v>158</v>
      </c>
      <c r="G136" s="222">
        <v>234.0</v>
      </c>
      <c r="H136" s="223">
        <v>253.0</v>
      </c>
      <c r="J136" s="224">
        <f>IFERROR(__xludf.DUMMYFUNCTION("""COMPUTED_VALUE"""),45267.0)</f>
        <v>45267</v>
      </c>
      <c r="K136" s="230">
        <f>IFERROR(__xludf.DUMMYFUNCTION("""COMPUTED_VALUE"""),234.0)</f>
        <v>234</v>
      </c>
      <c r="L136" s="231">
        <f>IFERROR(__xludf.DUMMYFUNCTION("""COMPUTED_VALUE"""),253.0)</f>
        <v>253</v>
      </c>
    </row>
    <row r="137">
      <c r="A137" s="203">
        <v>45267.0</v>
      </c>
      <c r="B137" s="204" t="s">
        <v>165</v>
      </c>
      <c r="C137" s="227">
        <v>15.0</v>
      </c>
      <c r="D137" s="223">
        <v>23.0</v>
      </c>
      <c r="E137" s="228" t="s">
        <v>158</v>
      </c>
      <c r="G137" s="222">
        <v>234.0</v>
      </c>
      <c r="H137" s="223">
        <v>254.0</v>
      </c>
      <c r="J137" s="224">
        <f>IFERROR(__xludf.DUMMYFUNCTION("""COMPUTED_VALUE"""),45267.0)</f>
        <v>45267</v>
      </c>
      <c r="K137" s="230">
        <f>IFERROR(__xludf.DUMMYFUNCTION("""COMPUTED_VALUE"""),234.0)</f>
        <v>234</v>
      </c>
      <c r="L137" s="231">
        <f>IFERROR(__xludf.DUMMYFUNCTION("""COMPUTED_VALUE"""),254.0)</f>
        <v>254</v>
      </c>
    </row>
    <row r="138">
      <c r="A138" s="203">
        <v>45267.0</v>
      </c>
      <c r="B138" s="204" t="s">
        <v>106</v>
      </c>
      <c r="C138" s="227">
        <v>7.0</v>
      </c>
      <c r="D138" s="223">
        <v>4.0</v>
      </c>
      <c r="E138" s="228" t="s">
        <v>158</v>
      </c>
      <c r="G138" s="222">
        <v>234.0</v>
      </c>
      <c r="H138" s="223">
        <v>255.0</v>
      </c>
      <c r="J138" s="224">
        <f>IFERROR(__xludf.DUMMYFUNCTION("""COMPUTED_VALUE"""),45267.0)</f>
        <v>45267</v>
      </c>
      <c r="K138" s="230">
        <f>IFERROR(__xludf.DUMMYFUNCTION("""COMPUTED_VALUE"""),234.0)</f>
        <v>234</v>
      </c>
      <c r="L138" s="231">
        <f>IFERROR(__xludf.DUMMYFUNCTION("""COMPUTED_VALUE"""),255.0)</f>
        <v>255</v>
      </c>
    </row>
    <row r="139">
      <c r="A139" s="203">
        <v>45267.0</v>
      </c>
      <c r="B139" s="204" t="s">
        <v>175</v>
      </c>
      <c r="C139" s="227">
        <v>12.0</v>
      </c>
      <c r="D139" s="223">
        <v>14.0</v>
      </c>
      <c r="E139" s="228" t="s">
        <v>157</v>
      </c>
      <c r="G139" s="222">
        <v>234.0</v>
      </c>
      <c r="H139" s="223">
        <v>255.0</v>
      </c>
      <c r="J139" s="224">
        <f>IFERROR(__xludf.DUMMYFUNCTION("""COMPUTED_VALUE"""),45267.0)</f>
        <v>45267</v>
      </c>
      <c r="K139" s="230">
        <f>IFERROR(__xludf.DUMMYFUNCTION("""COMPUTED_VALUE"""),234.0)</f>
        <v>234</v>
      </c>
      <c r="L139" s="231">
        <f>IFERROR(__xludf.DUMMYFUNCTION("""COMPUTED_VALUE"""),255.0)</f>
        <v>255</v>
      </c>
    </row>
    <row r="140">
      <c r="A140" s="232">
        <v>45278.0</v>
      </c>
      <c r="B140" s="204" t="s">
        <v>2</v>
      </c>
      <c r="C140" s="227">
        <v>2.0</v>
      </c>
      <c r="D140" s="223">
        <v>8.0</v>
      </c>
      <c r="E140" s="228" t="s">
        <v>158</v>
      </c>
      <c r="G140" s="222">
        <v>234.0</v>
      </c>
      <c r="H140" s="223">
        <v>256.0</v>
      </c>
      <c r="J140" s="224">
        <f>IFERROR(__xludf.DUMMYFUNCTION("""COMPUTED_VALUE"""),45278.0)</f>
        <v>45278</v>
      </c>
      <c r="K140" s="230">
        <f>IFERROR(__xludf.DUMMYFUNCTION("""COMPUTED_VALUE"""),234.0)</f>
        <v>234</v>
      </c>
      <c r="L140" s="231">
        <f>IFERROR(__xludf.DUMMYFUNCTION("""COMPUTED_VALUE"""),256.0)</f>
        <v>256</v>
      </c>
    </row>
    <row r="141">
      <c r="A141" s="232">
        <v>45278.0</v>
      </c>
      <c r="B141" s="204" t="s">
        <v>165</v>
      </c>
      <c r="C141" s="227">
        <v>15.0</v>
      </c>
      <c r="D141" s="223">
        <v>24.0</v>
      </c>
      <c r="E141" s="228" t="s">
        <v>158</v>
      </c>
      <c r="G141" s="222">
        <v>234.0</v>
      </c>
      <c r="H141" s="223">
        <v>257.0</v>
      </c>
      <c r="J141" s="224">
        <f>IFERROR(__xludf.DUMMYFUNCTION("""COMPUTED_VALUE"""),45278.0)</f>
        <v>45278</v>
      </c>
      <c r="K141" s="230">
        <f>IFERROR(__xludf.DUMMYFUNCTION("""COMPUTED_VALUE"""),234.0)</f>
        <v>234</v>
      </c>
      <c r="L141" s="231">
        <f>IFERROR(__xludf.DUMMYFUNCTION("""COMPUTED_VALUE"""),257.0)</f>
        <v>257</v>
      </c>
    </row>
    <row r="142">
      <c r="A142" s="232">
        <v>45278.0</v>
      </c>
      <c r="B142" s="204" t="s">
        <v>178</v>
      </c>
      <c r="C142" s="227">
        <v>10.0</v>
      </c>
      <c r="D142" s="223">
        <v>11.0</v>
      </c>
      <c r="E142" s="228" t="s">
        <v>157</v>
      </c>
      <c r="G142" s="222">
        <v>235.0</v>
      </c>
      <c r="H142" s="223">
        <v>257.0</v>
      </c>
      <c r="J142" s="224">
        <f>IFERROR(__xludf.DUMMYFUNCTION("""COMPUTED_VALUE"""),45278.0)</f>
        <v>45278</v>
      </c>
      <c r="K142" s="230">
        <f>IFERROR(__xludf.DUMMYFUNCTION("""COMPUTED_VALUE"""),235.0)</f>
        <v>235</v>
      </c>
      <c r="L142" s="231">
        <f>IFERROR(__xludf.DUMMYFUNCTION("""COMPUTED_VALUE"""),257.0)</f>
        <v>257</v>
      </c>
    </row>
    <row r="143">
      <c r="A143" s="232">
        <v>45278.0</v>
      </c>
      <c r="B143" s="204" t="s">
        <v>1</v>
      </c>
      <c r="C143" s="227">
        <v>11.0</v>
      </c>
      <c r="D143" s="223">
        <v>21.0</v>
      </c>
      <c r="E143" s="228" t="s">
        <v>158</v>
      </c>
      <c r="G143" s="222">
        <v>235.0</v>
      </c>
      <c r="H143" s="223">
        <v>258.0</v>
      </c>
      <c r="J143" s="224">
        <f>IFERROR(__xludf.DUMMYFUNCTION("""COMPUTED_VALUE"""),45278.0)</f>
        <v>45278</v>
      </c>
      <c r="K143" s="230">
        <f>IFERROR(__xludf.DUMMYFUNCTION("""COMPUTED_VALUE"""),235.0)</f>
        <v>235</v>
      </c>
      <c r="L143" s="231">
        <f>IFERROR(__xludf.DUMMYFUNCTION("""COMPUTED_VALUE"""),258.0)</f>
        <v>258</v>
      </c>
    </row>
    <row r="144">
      <c r="A144" s="232">
        <v>45278.0</v>
      </c>
      <c r="B144" s="204" t="s">
        <v>175</v>
      </c>
      <c r="C144" s="227">
        <v>12.0</v>
      </c>
      <c r="D144" s="223">
        <v>15.0</v>
      </c>
      <c r="E144" s="228" t="s">
        <v>158</v>
      </c>
      <c r="G144" s="222">
        <v>235.0</v>
      </c>
      <c r="H144" s="223">
        <v>259.0</v>
      </c>
      <c r="J144" s="224">
        <f>IFERROR(__xludf.DUMMYFUNCTION("""COMPUTED_VALUE"""),45278.0)</f>
        <v>45278</v>
      </c>
      <c r="K144" s="230">
        <f>IFERROR(__xludf.DUMMYFUNCTION("""COMPUTED_VALUE"""),235.0)</f>
        <v>235</v>
      </c>
      <c r="L144" s="231">
        <f>IFERROR(__xludf.DUMMYFUNCTION("""COMPUTED_VALUE"""),259.0)</f>
        <v>259</v>
      </c>
    </row>
    <row r="145">
      <c r="A145" s="232">
        <v>45278.0</v>
      </c>
      <c r="B145" s="204" t="s">
        <v>172</v>
      </c>
      <c r="C145" s="227">
        <v>13.0</v>
      </c>
      <c r="D145" s="223">
        <v>15.0</v>
      </c>
      <c r="E145" s="228" t="s">
        <v>158</v>
      </c>
      <c r="G145" s="222">
        <v>235.0</v>
      </c>
      <c r="H145" s="223">
        <v>260.0</v>
      </c>
      <c r="J145" s="224">
        <f>IFERROR(__xludf.DUMMYFUNCTION("""COMPUTED_VALUE"""),45278.0)</f>
        <v>45278</v>
      </c>
      <c r="K145" s="230">
        <f>IFERROR(__xludf.DUMMYFUNCTION("""COMPUTED_VALUE"""),235.0)</f>
        <v>235</v>
      </c>
      <c r="L145" s="231">
        <f>IFERROR(__xludf.DUMMYFUNCTION("""COMPUTED_VALUE"""),260.0)</f>
        <v>260</v>
      </c>
    </row>
    <row r="146">
      <c r="A146" s="232">
        <v>45290.0</v>
      </c>
      <c r="B146" s="204" t="s">
        <v>175</v>
      </c>
      <c r="C146" s="227">
        <v>12.0</v>
      </c>
      <c r="D146" s="223">
        <v>16.0</v>
      </c>
      <c r="E146" s="228" t="s">
        <v>158</v>
      </c>
      <c r="G146" s="222">
        <v>235.0</v>
      </c>
      <c r="H146" s="223">
        <v>261.0</v>
      </c>
      <c r="J146" s="224">
        <f>IFERROR(__xludf.DUMMYFUNCTION("""COMPUTED_VALUE"""),45290.0)</f>
        <v>45290</v>
      </c>
      <c r="K146" s="230">
        <f>IFERROR(__xludf.DUMMYFUNCTION("""COMPUTED_VALUE"""),235.0)</f>
        <v>235</v>
      </c>
      <c r="L146" s="231">
        <f>IFERROR(__xludf.DUMMYFUNCTION("""COMPUTED_VALUE"""),261.0)</f>
        <v>261</v>
      </c>
    </row>
    <row r="147">
      <c r="A147" s="232">
        <v>45290.0</v>
      </c>
      <c r="B147" s="204" t="s">
        <v>175</v>
      </c>
      <c r="C147" s="227">
        <v>12.0</v>
      </c>
      <c r="D147" s="223">
        <v>17.0</v>
      </c>
      <c r="E147" s="228" t="s">
        <v>158</v>
      </c>
      <c r="G147" s="222">
        <v>235.0</v>
      </c>
      <c r="H147" s="223">
        <v>262.0</v>
      </c>
      <c r="J147" s="224">
        <f>IFERROR(__xludf.DUMMYFUNCTION("""COMPUTED_VALUE"""),45290.0)</f>
        <v>45290</v>
      </c>
      <c r="K147" s="230">
        <f>IFERROR(__xludf.DUMMYFUNCTION("""COMPUTED_VALUE"""),235.0)</f>
        <v>235</v>
      </c>
      <c r="L147" s="231">
        <f>IFERROR(__xludf.DUMMYFUNCTION("""COMPUTED_VALUE"""),262.0)</f>
        <v>262</v>
      </c>
    </row>
    <row r="148">
      <c r="A148" s="232">
        <v>45290.0</v>
      </c>
      <c r="B148" s="204" t="s">
        <v>172</v>
      </c>
      <c r="C148" s="227">
        <v>13.0</v>
      </c>
      <c r="D148" s="223">
        <v>16.0</v>
      </c>
      <c r="E148" s="228" t="s">
        <v>158</v>
      </c>
      <c r="G148" s="222">
        <v>235.0</v>
      </c>
      <c r="H148" s="223">
        <v>263.0</v>
      </c>
      <c r="J148" s="224">
        <f>IFERROR(__xludf.DUMMYFUNCTION("""COMPUTED_VALUE"""),45290.0)</f>
        <v>45290</v>
      </c>
      <c r="K148" s="230">
        <f>IFERROR(__xludf.DUMMYFUNCTION("""COMPUTED_VALUE"""),235.0)</f>
        <v>235</v>
      </c>
      <c r="L148" s="231">
        <f>IFERROR(__xludf.DUMMYFUNCTION("""COMPUTED_VALUE"""),263.0)</f>
        <v>263</v>
      </c>
    </row>
    <row r="149">
      <c r="A149" s="232">
        <v>45290.0</v>
      </c>
      <c r="B149" s="204" t="s">
        <v>177</v>
      </c>
      <c r="C149" s="227">
        <v>7.0</v>
      </c>
      <c r="D149" s="223">
        <v>15.0</v>
      </c>
      <c r="E149" s="228" t="s">
        <v>158</v>
      </c>
      <c r="G149" s="222">
        <v>235.0</v>
      </c>
      <c r="H149" s="223">
        <v>264.0</v>
      </c>
      <c r="J149" s="224">
        <f>IFERROR(__xludf.DUMMYFUNCTION("""COMPUTED_VALUE"""),45290.0)</f>
        <v>45290</v>
      </c>
      <c r="K149" s="230">
        <f>IFERROR(__xludf.DUMMYFUNCTION("""COMPUTED_VALUE"""),235.0)</f>
        <v>235</v>
      </c>
      <c r="L149" s="231">
        <f>IFERROR(__xludf.DUMMYFUNCTION("""COMPUTED_VALUE"""),264.0)</f>
        <v>264</v>
      </c>
    </row>
    <row r="150">
      <c r="A150" s="232">
        <v>45290.0</v>
      </c>
      <c r="B150" s="204" t="s">
        <v>107</v>
      </c>
      <c r="C150" s="227">
        <v>10.0</v>
      </c>
      <c r="D150" s="223">
        <v>19.0</v>
      </c>
      <c r="E150" s="228" t="s">
        <v>157</v>
      </c>
      <c r="G150" s="222">
        <v>236.0</v>
      </c>
      <c r="H150" s="223">
        <v>264.0</v>
      </c>
      <c r="J150" s="224">
        <f>IFERROR(__xludf.DUMMYFUNCTION("""COMPUTED_VALUE"""),45290.0)</f>
        <v>45290</v>
      </c>
      <c r="K150" s="230">
        <f>IFERROR(__xludf.DUMMYFUNCTION("""COMPUTED_VALUE"""),236.0)</f>
        <v>236</v>
      </c>
      <c r="L150" s="231">
        <f>IFERROR(__xludf.DUMMYFUNCTION("""COMPUTED_VALUE"""),264.0)</f>
        <v>264</v>
      </c>
    </row>
    <row r="151">
      <c r="A151" s="232">
        <v>45290.0</v>
      </c>
      <c r="B151" s="204" t="s">
        <v>64</v>
      </c>
      <c r="C151" s="227">
        <v>13.0</v>
      </c>
      <c r="D151" s="223">
        <v>9.0</v>
      </c>
      <c r="E151" s="228" t="s">
        <v>157</v>
      </c>
      <c r="G151" s="222">
        <v>237.0</v>
      </c>
      <c r="H151" s="223">
        <v>264.0</v>
      </c>
      <c r="J151" s="224">
        <f>IFERROR(__xludf.DUMMYFUNCTION("""COMPUTED_VALUE"""),45290.0)</f>
        <v>45290</v>
      </c>
      <c r="K151" s="230">
        <f>IFERROR(__xludf.DUMMYFUNCTION("""COMPUTED_VALUE"""),237.0)</f>
        <v>237</v>
      </c>
      <c r="L151" s="231">
        <f>IFERROR(__xludf.DUMMYFUNCTION("""COMPUTED_VALUE"""),264.0)</f>
        <v>264</v>
      </c>
    </row>
    <row r="152">
      <c r="A152" s="232">
        <v>45290.0</v>
      </c>
      <c r="B152" s="204" t="s">
        <v>176</v>
      </c>
      <c r="C152" s="227">
        <v>11.0</v>
      </c>
      <c r="D152" s="223">
        <v>6.0</v>
      </c>
      <c r="E152" s="228" t="s">
        <v>158</v>
      </c>
      <c r="G152" s="222">
        <v>237.0</v>
      </c>
      <c r="H152" s="223">
        <v>265.0</v>
      </c>
      <c r="J152" s="224">
        <f>IFERROR(__xludf.DUMMYFUNCTION("""COMPUTED_VALUE"""),45290.0)</f>
        <v>45290</v>
      </c>
      <c r="K152" s="230">
        <f>IFERROR(__xludf.DUMMYFUNCTION("""COMPUTED_VALUE"""),237.0)</f>
        <v>237</v>
      </c>
      <c r="L152" s="231">
        <f>IFERROR(__xludf.DUMMYFUNCTION("""COMPUTED_VALUE"""),265.0)</f>
        <v>265</v>
      </c>
    </row>
    <row r="153">
      <c r="A153" s="232">
        <v>45290.0</v>
      </c>
      <c r="B153" s="204" t="s">
        <v>176</v>
      </c>
      <c r="C153" s="227">
        <v>11.0</v>
      </c>
      <c r="D153" s="223">
        <v>7.0</v>
      </c>
      <c r="E153" s="228" t="s">
        <v>158</v>
      </c>
      <c r="G153" s="222">
        <v>237.0</v>
      </c>
      <c r="H153" s="223">
        <v>266.0</v>
      </c>
      <c r="J153" s="224">
        <f>IFERROR(__xludf.DUMMYFUNCTION("""COMPUTED_VALUE"""),45290.0)</f>
        <v>45290</v>
      </c>
      <c r="K153" s="230">
        <f>IFERROR(__xludf.DUMMYFUNCTION("""COMPUTED_VALUE"""),237.0)</f>
        <v>237</v>
      </c>
      <c r="L153" s="231">
        <f>IFERROR(__xludf.DUMMYFUNCTION("""COMPUTED_VALUE"""),266.0)</f>
        <v>266</v>
      </c>
    </row>
    <row r="154">
      <c r="A154" s="203">
        <v>45306.0</v>
      </c>
      <c r="B154" s="204" t="s">
        <v>115</v>
      </c>
      <c r="C154" s="227">
        <v>6.0</v>
      </c>
      <c r="D154" s="223">
        <v>11.0</v>
      </c>
      <c r="E154" s="228" t="s">
        <v>157</v>
      </c>
      <c r="G154" s="222">
        <v>238.0</v>
      </c>
      <c r="H154" s="223">
        <v>266.0</v>
      </c>
      <c r="J154" s="224">
        <f>IFERROR(__xludf.DUMMYFUNCTION("""COMPUTED_VALUE"""),45306.0)</f>
        <v>45306</v>
      </c>
      <c r="K154" s="230">
        <f>IFERROR(__xludf.DUMMYFUNCTION("""COMPUTED_VALUE"""),238.0)</f>
        <v>238</v>
      </c>
      <c r="L154" s="231">
        <f>IFERROR(__xludf.DUMMYFUNCTION("""COMPUTED_VALUE"""),266.0)</f>
        <v>266</v>
      </c>
    </row>
    <row r="155">
      <c r="A155" s="203">
        <v>45306.0</v>
      </c>
      <c r="B155" s="204" t="s">
        <v>107</v>
      </c>
      <c r="C155" s="227">
        <v>10.0</v>
      </c>
      <c r="D155" s="223">
        <v>20.0</v>
      </c>
      <c r="E155" s="228" t="s">
        <v>158</v>
      </c>
      <c r="G155" s="222">
        <v>238.0</v>
      </c>
      <c r="H155" s="223">
        <v>267.0</v>
      </c>
      <c r="J155" s="224">
        <f>IFERROR(__xludf.DUMMYFUNCTION("""COMPUTED_VALUE"""),45306.0)</f>
        <v>45306</v>
      </c>
      <c r="K155" s="230">
        <f>IFERROR(__xludf.DUMMYFUNCTION("""COMPUTED_VALUE"""),238.0)</f>
        <v>238</v>
      </c>
      <c r="L155" s="231">
        <f>IFERROR(__xludf.DUMMYFUNCTION("""COMPUTED_VALUE"""),267.0)</f>
        <v>267</v>
      </c>
    </row>
    <row r="156">
      <c r="A156" s="203">
        <v>45306.0</v>
      </c>
      <c r="B156" s="204" t="s">
        <v>165</v>
      </c>
      <c r="C156" s="227">
        <v>15.0</v>
      </c>
      <c r="D156" s="223">
        <v>25.0</v>
      </c>
      <c r="E156" s="228" t="s">
        <v>158</v>
      </c>
      <c r="G156" s="222">
        <v>238.0</v>
      </c>
      <c r="H156" s="223">
        <v>268.0</v>
      </c>
      <c r="J156" s="224">
        <f>IFERROR(__xludf.DUMMYFUNCTION("""COMPUTED_VALUE"""),45306.0)</f>
        <v>45306</v>
      </c>
      <c r="K156" s="230">
        <f>IFERROR(__xludf.DUMMYFUNCTION("""COMPUTED_VALUE"""),238.0)</f>
        <v>238</v>
      </c>
      <c r="L156" s="231">
        <f>IFERROR(__xludf.DUMMYFUNCTION("""COMPUTED_VALUE"""),268.0)</f>
        <v>268</v>
      </c>
    </row>
    <row r="157">
      <c r="A157" s="203">
        <v>45306.0</v>
      </c>
      <c r="B157" s="204" t="s">
        <v>38</v>
      </c>
      <c r="C157" s="227">
        <v>7.0</v>
      </c>
      <c r="D157" s="223">
        <v>9.0</v>
      </c>
      <c r="E157" s="228" t="s">
        <v>158</v>
      </c>
      <c r="G157" s="222">
        <v>238.0</v>
      </c>
      <c r="H157" s="223">
        <v>269.0</v>
      </c>
      <c r="J157" s="224">
        <f>IFERROR(__xludf.DUMMYFUNCTION("""COMPUTED_VALUE"""),45306.0)</f>
        <v>45306</v>
      </c>
      <c r="K157" s="230">
        <f>IFERROR(__xludf.DUMMYFUNCTION("""COMPUTED_VALUE"""),238.0)</f>
        <v>238</v>
      </c>
      <c r="L157" s="231">
        <f>IFERROR(__xludf.DUMMYFUNCTION("""COMPUTED_VALUE"""),269.0)</f>
        <v>269</v>
      </c>
    </row>
    <row r="158">
      <c r="A158" s="203">
        <v>45306.0</v>
      </c>
      <c r="B158" s="204" t="s">
        <v>113</v>
      </c>
      <c r="C158" s="227">
        <v>11.0</v>
      </c>
      <c r="D158" s="223">
        <v>9.0</v>
      </c>
      <c r="E158" s="228" t="s">
        <v>158</v>
      </c>
      <c r="G158" s="222">
        <v>238.0</v>
      </c>
      <c r="H158" s="223">
        <v>270.0</v>
      </c>
      <c r="J158" s="224">
        <f>IFERROR(__xludf.DUMMYFUNCTION("""COMPUTED_VALUE"""),45306.0)</f>
        <v>45306</v>
      </c>
      <c r="K158" s="230">
        <f>IFERROR(__xludf.DUMMYFUNCTION("""COMPUTED_VALUE"""),238.0)</f>
        <v>238</v>
      </c>
      <c r="L158" s="231">
        <f>IFERROR(__xludf.DUMMYFUNCTION("""COMPUTED_VALUE"""),270.0)</f>
        <v>270</v>
      </c>
    </row>
    <row r="159">
      <c r="A159" s="203">
        <v>45306.0</v>
      </c>
      <c r="B159" s="204" t="s">
        <v>1</v>
      </c>
      <c r="C159" s="227">
        <v>12.0</v>
      </c>
      <c r="D159" s="223">
        <v>21.0</v>
      </c>
      <c r="E159" s="228" t="s">
        <v>157</v>
      </c>
      <c r="G159" s="222">
        <v>239.0</v>
      </c>
      <c r="H159" s="223">
        <v>270.0</v>
      </c>
      <c r="J159" s="224">
        <f>IFERROR(__xludf.DUMMYFUNCTION("""COMPUTED_VALUE"""),45306.0)</f>
        <v>45306</v>
      </c>
      <c r="K159" s="230">
        <f>IFERROR(__xludf.DUMMYFUNCTION("""COMPUTED_VALUE"""),239.0)</f>
        <v>239</v>
      </c>
      <c r="L159" s="231">
        <f>IFERROR(__xludf.DUMMYFUNCTION("""COMPUTED_VALUE"""),270.0)</f>
        <v>270</v>
      </c>
    </row>
    <row r="160">
      <c r="A160" s="203">
        <v>45311.0</v>
      </c>
      <c r="B160" s="204" t="s">
        <v>115</v>
      </c>
      <c r="C160" s="227">
        <v>6.0</v>
      </c>
      <c r="D160" s="223">
        <v>12.0</v>
      </c>
      <c r="E160" s="228" t="s">
        <v>158</v>
      </c>
      <c r="G160" s="222">
        <v>239.0</v>
      </c>
      <c r="H160" s="223">
        <v>271.0</v>
      </c>
      <c r="J160" s="224">
        <f>IFERROR(__xludf.DUMMYFUNCTION("""COMPUTED_VALUE"""),45311.0)</f>
        <v>45311</v>
      </c>
      <c r="K160" s="230">
        <f>IFERROR(__xludf.DUMMYFUNCTION("""COMPUTED_VALUE"""),239.0)</f>
        <v>239</v>
      </c>
      <c r="L160" s="231">
        <f>IFERROR(__xludf.DUMMYFUNCTION("""COMPUTED_VALUE"""),271.0)</f>
        <v>271</v>
      </c>
    </row>
    <row r="161">
      <c r="A161" s="203">
        <v>45311.0</v>
      </c>
      <c r="B161" s="204" t="s">
        <v>176</v>
      </c>
      <c r="C161" s="227">
        <v>11.0</v>
      </c>
      <c r="D161" s="223">
        <v>8.0</v>
      </c>
      <c r="E161" s="228" t="s">
        <v>158</v>
      </c>
      <c r="G161" s="222">
        <v>239.0</v>
      </c>
      <c r="H161" s="223">
        <v>272.0</v>
      </c>
      <c r="J161" s="224">
        <f>IFERROR(__xludf.DUMMYFUNCTION("""COMPUTED_VALUE"""),45311.0)</f>
        <v>45311</v>
      </c>
      <c r="K161" s="230">
        <f>IFERROR(__xludf.DUMMYFUNCTION("""COMPUTED_VALUE"""),239.0)</f>
        <v>239</v>
      </c>
      <c r="L161" s="231">
        <f>IFERROR(__xludf.DUMMYFUNCTION("""COMPUTED_VALUE"""),272.0)</f>
        <v>272</v>
      </c>
    </row>
    <row r="162">
      <c r="A162" s="203">
        <v>45311.0</v>
      </c>
      <c r="B162" s="204" t="s">
        <v>85</v>
      </c>
      <c r="C162" s="227">
        <v>4.0</v>
      </c>
      <c r="D162" s="223">
        <v>7.0</v>
      </c>
      <c r="E162" s="228" t="s">
        <v>158</v>
      </c>
      <c r="G162" s="222">
        <v>239.0</v>
      </c>
      <c r="H162" s="223">
        <v>273.0</v>
      </c>
      <c r="J162" s="224">
        <f>IFERROR(__xludf.DUMMYFUNCTION("""COMPUTED_VALUE"""),45311.0)</f>
        <v>45311</v>
      </c>
      <c r="K162" s="230">
        <f>IFERROR(__xludf.DUMMYFUNCTION("""COMPUTED_VALUE"""),239.0)</f>
        <v>239</v>
      </c>
      <c r="L162" s="231">
        <f>IFERROR(__xludf.DUMMYFUNCTION("""COMPUTED_VALUE"""),273.0)</f>
        <v>273</v>
      </c>
    </row>
    <row r="163">
      <c r="A163" s="203">
        <v>45311.0</v>
      </c>
      <c r="B163" s="204" t="s">
        <v>186</v>
      </c>
      <c r="C163" s="227">
        <v>14.0</v>
      </c>
      <c r="D163" s="223">
        <v>6.0</v>
      </c>
      <c r="E163" s="228" t="s">
        <v>157</v>
      </c>
      <c r="G163" s="222">
        <v>240.0</v>
      </c>
      <c r="H163" s="223">
        <v>273.0</v>
      </c>
      <c r="J163" s="224">
        <f>IFERROR(__xludf.DUMMYFUNCTION("""COMPUTED_VALUE"""),45311.0)</f>
        <v>45311</v>
      </c>
      <c r="K163" s="230">
        <f>IFERROR(__xludf.DUMMYFUNCTION("""COMPUTED_VALUE"""),240.0)</f>
        <v>240</v>
      </c>
      <c r="L163" s="231">
        <f>IFERROR(__xludf.DUMMYFUNCTION("""COMPUTED_VALUE"""),273.0)</f>
        <v>273</v>
      </c>
    </row>
    <row r="164">
      <c r="A164" s="203">
        <v>45311.0</v>
      </c>
      <c r="B164" s="204" t="s">
        <v>165</v>
      </c>
      <c r="C164" s="227">
        <v>15.0</v>
      </c>
      <c r="D164" s="223">
        <v>26.0</v>
      </c>
      <c r="E164" s="228" t="s">
        <v>158</v>
      </c>
      <c r="G164" s="222">
        <v>240.0</v>
      </c>
      <c r="H164" s="223">
        <v>274.0</v>
      </c>
      <c r="J164" s="224">
        <f>IFERROR(__xludf.DUMMYFUNCTION("""COMPUTED_VALUE"""),45311.0)</f>
        <v>45311</v>
      </c>
      <c r="K164" s="230">
        <f>IFERROR(__xludf.DUMMYFUNCTION("""COMPUTED_VALUE"""),240.0)</f>
        <v>240</v>
      </c>
      <c r="L164" s="231">
        <f>IFERROR(__xludf.DUMMYFUNCTION("""COMPUTED_VALUE"""),274.0)</f>
        <v>274</v>
      </c>
    </row>
    <row r="165">
      <c r="A165" s="203">
        <v>45311.0</v>
      </c>
      <c r="B165" s="204" t="s">
        <v>176</v>
      </c>
      <c r="C165" s="227">
        <v>12.0</v>
      </c>
      <c r="D165" s="223">
        <v>8.0</v>
      </c>
      <c r="E165" s="228" t="s">
        <v>157</v>
      </c>
      <c r="G165" s="222">
        <v>241.0</v>
      </c>
      <c r="H165" s="223">
        <v>274.0</v>
      </c>
      <c r="J165" s="224">
        <f>IFERROR(__xludf.DUMMYFUNCTION("""COMPUTED_VALUE"""),45311.0)</f>
        <v>45311</v>
      </c>
      <c r="K165" s="230">
        <f>IFERROR(__xludf.DUMMYFUNCTION("""COMPUTED_VALUE"""),241.0)</f>
        <v>241</v>
      </c>
      <c r="L165" s="231">
        <f>IFERROR(__xludf.DUMMYFUNCTION("""COMPUTED_VALUE"""),274.0)</f>
        <v>274</v>
      </c>
    </row>
    <row r="166">
      <c r="A166" s="203">
        <v>45312.0</v>
      </c>
      <c r="B166" s="204" t="s">
        <v>181</v>
      </c>
      <c r="C166" s="227">
        <v>11.0</v>
      </c>
      <c r="D166" s="223">
        <v>6.0</v>
      </c>
      <c r="E166" s="228" t="s">
        <v>158</v>
      </c>
      <c r="G166" s="222">
        <v>241.0</v>
      </c>
      <c r="H166" s="223">
        <v>275.0</v>
      </c>
      <c r="J166" s="224">
        <f>IFERROR(__xludf.DUMMYFUNCTION("""COMPUTED_VALUE"""),45312.0)</f>
        <v>45312</v>
      </c>
      <c r="K166" s="230">
        <f>IFERROR(__xludf.DUMMYFUNCTION("""COMPUTED_VALUE"""),241.0)</f>
        <v>241</v>
      </c>
      <c r="L166" s="231">
        <f>IFERROR(__xludf.DUMMYFUNCTION("""COMPUTED_VALUE"""),275.0)</f>
        <v>275</v>
      </c>
    </row>
    <row r="167">
      <c r="A167" s="203">
        <v>45312.0</v>
      </c>
      <c r="B167" s="204" t="s">
        <v>176</v>
      </c>
      <c r="C167" s="227">
        <v>12.0</v>
      </c>
      <c r="D167" s="223">
        <v>9.0</v>
      </c>
      <c r="E167" s="228" t="s">
        <v>158</v>
      </c>
      <c r="G167" s="222">
        <v>241.0</v>
      </c>
      <c r="H167" s="223">
        <v>276.0</v>
      </c>
      <c r="J167" s="224">
        <f>IFERROR(__xludf.DUMMYFUNCTION("""COMPUTED_VALUE"""),45312.0)</f>
        <v>45312</v>
      </c>
      <c r="K167" s="230">
        <f>IFERROR(__xludf.DUMMYFUNCTION("""COMPUTED_VALUE"""),241.0)</f>
        <v>241</v>
      </c>
      <c r="L167" s="231">
        <f>IFERROR(__xludf.DUMMYFUNCTION("""COMPUTED_VALUE"""),276.0)</f>
        <v>276</v>
      </c>
    </row>
    <row r="168">
      <c r="A168" s="203">
        <v>45312.0</v>
      </c>
      <c r="B168" s="204" t="s">
        <v>176</v>
      </c>
      <c r="C168" s="227">
        <v>13.0</v>
      </c>
      <c r="D168" s="223">
        <v>9.0</v>
      </c>
      <c r="E168" s="228" t="s">
        <v>157</v>
      </c>
      <c r="G168" s="222">
        <v>242.0</v>
      </c>
      <c r="H168" s="223">
        <v>276.0</v>
      </c>
      <c r="J168" s="224">
        <f>IFERROR(__xludf.DUMMYFUNCTION("""COMPUTED_VALUE"""),45312.0)</f>
        <v>45312</v>
      </c>
      <c r="K168" s="230">
        <f>IFERROR(__xludf.DUMMYFUNCTION("""COMPUTED_VALUE"""),242.0)</f>
        <v>242</v>
      </c>
      <c r="L168" s="231">
        <f>IFERROR(__xludf.DUMMYFUNCTION("""COMPUTED_VALUE"""),276.0)</f>
        <v>276</v>
      </c>
    </row>
    <row r="169">
      <c r="A169" s="203">
        <v>45312.0</v>
      </c>
      <c r="B169" s="204" t="s">
        <v>3</v>
      </c>
      <c r="C169" s="227">
        <v>10.0</v>
      </c>
      <c r="D169" s="223">
        <v>17.0</v>
      </c>
      <c r="E169" s="228" t="s">
        <v>158</v>
      </c>
      <c r="G169" s="222">
        <v>242.0</v>
      </c>
      <c r="H169" s="223">
        <v>277.0</v>
      </c>
      <c r="J169" s="224">
        <f>IFERROR(__xludf.DUMMYFUNCTION("""COMPUTED_VALUE"""),45312.0)</f>
        <v>45312</v>
      </c>
      <c r="K169" s="230">
        <f>IFERROR(__xludf.DUMMYFUNCTION("""COMPUTED_VALUE"""),242.0)</f>
        <v>242</v>
      </c>
      <c r="L169" s="231">
        <f>IFERROR(__xludf.DUMMYFUNCTION("""COMPUTED_VALUE"""),277.0)</f>
        <v>277</v>
      </c>
    </row>
    <row r="170">
      <c r="A170" s="203">
        <v>45346.0</v>
      </c>
      <c r="B170" s="204" t="s">
        <v>178</v>
      </c>
      <c r="C170" s="227">
        <v>10.0</v>
      </c>
      <c r="D170" s="223">
        <v>12.0</v>
      </c>
      <c r="E170" s="228" t="s">
        <v>158</v>
      </c>
      <c r="G170" s="222">
        <v>242.0</v>
      </c>
      <c r="H170" s="223">
        <v>278.0</v>
      </c>
      <c r="J170" s="224">
        <f>IFERROR(__xludf.DUMMYFUNCTION("""COMPUTED_VALUE"""),45346.0)</f>
        <v>45346</v>
      </c>
      <c r="K170" s="230">
        <f>IFERROR(__xludf.DUMMYFUNCTION("""COMPUTED_VALUE"""),242.0)</f>
        <v>242</v>
      </c>
      <c r="L170" s="231">
        <f>IFERROR(__xludf.DUMMYFUNCTION("""COMPUTED_VALUE"""),278.0)</f>
        <v>278</v>
      </c>
    </row>
    <row r="171">
      <c r="A171" s="203">
        <v>45346.0</v>
      </c>
      <c r="B171" s="204" t="s">
        <v>84</v>
      </c>
      <c r="C171" s="227">
        <v>12.0</v>
      </c>
      <c r="D171" s="223">
        <v>8.0</v>
      </c>
      <c r="E171" s="228" t="s">
        <v>157</v>
      </c>
      <c r="G171" s="222">
        <v>243.0</v>
      </c>
      <c r="H171" s="223">
        <v>278.0</v>
      </c>
      <c r="J171" s="224">
        <f>IFERROR(__xludf.DUMMYFUNCTION("""COMPUTED_VALUE"""),45346.0)</f>
        <v>45346</v>
      </c>
      <c r="K171" s="230">
        <f>IFERROR(__xludf.DUMMYFUNCTION("""COMPUTED_VALUE"""),243.0)</f>
        <v>243</v>
      </c>
      <c r="L171" s="231">
        <f>IFERROR(__xludf.DUMMYFUNCTION("""COMPUTED_VALUE"""),278.0)</f>
        <v>278</v>
      </c>
    </row>
    <row r="172">
      <c r="A172" s="203">
        <v>45346.0</v>
      </c>
      <c r="B172" s="204" t="s">
        <v>180</v>
      </c>
      <c r="C172" s="227">
        <v>11.0</v>
      </c>
      <c r="D172" s="223">
        <v>7.0</v>
      </c>
      <c r="E172" s="228" t="s">
        <v>157</v>
      </c>
      <c r="G172" s="222">
        <v>244.0</v>
      </c>
      <c r="H172" s="223">
        <v>278.0</v>
      </c>
      <c r="J172" s="224">
        <f>IFERROR(__xludf.DUMMYFUNCTION("""COMPUTED_VALUE"""),45346.0)</f>
        <v>45346</v>
      </c>
      <c r="K172" s="230">
        <f>IFERROR(__xludf.DUMMYFUNCTION("""COMPUTED_VALUE"""),244.0)</f>
        <v>244</v>
      </c>
      <c r="L172" s="231">
        <f>IFERROR(__xludf.DUMMYFUNCTION("""COMPUTED_VALUE"""),278.0)</f>
        <v>278</v>
      </c>
    </row>
    <row r="173">
      <c r="A173" s="203">
        <v>45346.0</v>
      </c>
      <c r="B173" s="204" t="s">
        <v>181</v>
      </c>
      <c r="C173" s="227">
        <v>11.0</v>
      </c>
      <c r="D173" s="223">
        <v>7.0</v>
      </c>
      <c r="E173" s="228" t="s">
        <v>158</v>
      </c>
      <c r="G173" s="222">
        <v>244.0</v>
      </c>
      <c r="H173" s="223">
        <v>279.0</v>
      </c>
      <c r="J173" s="224">
        <f>IFERROR(__xludf.DUMMYFUNCTION("""COMPUTED_VALUE"""),45346.0)</f>
        <v>45346</v>
      </c>
      <c r="K173" s="230">
        <f>IFERROR(__xludf.DUMMYFUNCTION("""COMPUTED_VALUE"""),244.0)</f>
        <v>244</v>
      </c>
      <c r="L173" s="231">
        <f>IFERROR(__xludf.DUMMYFUNCTION("""COMPUTED_VALUE"""),279.0)</f>
        <v>279</v>
      </c>
    </row>
    <row r="174">
      <c r="A174" s="203">
        <v>45346.0</v>
      </c>
      <c r="B174" s="204" t="s">
        <v>115</v>
      </c>
      <c r="C174" s="227">
        <v>6.0</v>
      </c>
      <c r="D174" s="223">
        <v>13.0</v>
      </c>
      <c r="E174" s="228" t="s">
        <v>158</v>
      </c>
      <c r="G174" s="222">
        <v>244.0</v>
      </c>
      <c r="H174" s="223">
        <v>280.0</v>
      </c>
      <c r="J174" s="224">
        <f>IFERROR(__xludf.DUMMYFUNCTION("""COMPUTED_VALUE"""),45346.0)</f>
        <v>45346</v>
      </c>
      <c r="K174" s="230">
        <f>IFERROR(__xludf.DUMMYFUNCTION("""COMPUTED_VALUE"""),244.0)</f>
        <v>244</v>
      </c>
      <c r="L174" s="231">
        <f>IFERROR(__xludf.DUMMYFUNCTION("""COMPUTED_VALUE"""),280.0)</f>
        <v>280</v>
      </c>
    </row>
    <row r="175">
      <c r="A175" s="203">
        <v>45347.0</v>
      </c>
      <c r="B175" s="204" t="s">
        <v>107</v>
      </c>
      <c r="C175" s="227">
        <v>11.0</v>
      </c>
      <c r="D175" s="223">
        <v>20.0</v>
      </c>
      <c r="E175" s="228" t="s">
        <v>157</v>
      </c>
      <c r="G175" s="222">
        <v>245.0</v>
      </c>
      <c r="H175" s="223">
        <v>280.0</v>
      </c>
      <c r="J175" s="224">
        <f>IFERROR(__xludf.DUMMYFUNCTION("""COMPUTED_VALUE"""),45347.0)</f>
        <v>45347</v>
      </c>
      <c r="K175" s="230">
        <f>IFERROR(__xludf.DUMMYFUNCTION("""COMPUTED_VALUE"""),245.0)</f>
        <v>245</v>
      </c>
      <c r="L175" s="231">
        <f>IFERROR(__xludf.DUMMYFUNCTION("""COMPUTED_VALUE"""),280.0)</f>
        <v>280</v>
      </c>
    </row>
    <row r="176">
      <c r="A176" s="203">
        <v>45368.0</v>
      </c>
      <c r="B176" s="204" t="s">
        <v>2</v>
      </c>
      <c r="C176" s="227">
        <v>2.0</v>
      </c>
      <c r="D176" s="223">
        <v>9.0</v>
      </c>
      <c r="E176" s="228" t="s">
        <v>158</v>
      </c>
      <c r="G176" s="222">
        <v>245.0</v>
      </c>
      <c r="H176" s="223">
        <v>281.0</v>
      </c>
      <c r="J176" s="224">
        <f>IFERROR(__xludf.DUMMYFUNCTION("""COMPUTED_VALUE"""),45368.0)</f>
        <v>45368</v>
      </c>
      <c r="K176" s="230">
        <f>IFERROR(__xludf.DUMMYFUNCTION("""COMPUTED_VALUE"""),245.0)</f>
        <v>245</v>
      </c>
      <c r="L176" s="231">
        <f>IFERROR(__xludf.DUMMYFUNCTION("""COMPUTED_VALUE"""),281.0)</f>
        <v>281</v>
      </c>
    </row>
    <row r="177">
      <c r="A177" s="203">
        <v>45368.0</v>
      </c>
      <c r="B177" s="204" t="s">
        <v>64</v>
      </c>
      <c r="C177" s="227">
        <v>13.0</v>
      </c>
      <c r="D177" s="223">
        <v>11.0</v>
      </c>
      <c r="E177" s="228" t="s">
        <v>158</v>
      </c>
      <c r="G177" s="222">
        <v>245.0</v>
      </c>
      <c r="H177" s="223">
        <v>283.0</v>
      </c>
      <c r="J177" s="224">
        <f>IFERROR(__xludf.DUMMYFUNCTION("""COMPUTED_VALUE"""),45368.0)</f>
        <v>45368</v>
      </c>
      <c r="K177" s="230">
        <f>IFERROR(__xludf.DUMMYFUNCTION("""COMPUTED_VALUE"""),245.0)</f>
        <v>245</v>
      </c>
      <c r="L177" s="231">
        <f>IFERROR(__xludf.DUMMYFUNCTION("""COMPUTED_VALUE"""),283.0)</f>
        <v>283</v>
      </c>
    </row>
    <row r="178">
      <c r="A178" s="203">
        <v>45368.0</v>
      </c>
      <c r="B178" s="204" t="s">
        <v>172</v>
      </c>
      <c r="C178" s="227">
        <v>14.0</v>
      </c>
      <c r="D178" s="223">
        <v>16.0</v>
      </c>
      <c r="E178" s="228" t="s">
        <v>157</v>
      </c>
      <c r="G178" s="222">
        <v>246.0</v>
      </c>
      <c r="H178" s="223">
        <v>283.0</v>
      </c>
      <c r="J178" s="224">
        <f>IFERROR(__xludf.DUMMYFUNCTION("""COMPUTED_VALUE"""),45368.0)</f>
        <v>45368</v>
      </c>
      <c r="K178" s="230">
        <f>IFERROR(__xludf.DUMMYFUNCTION("""COMPUTED_VALUE"""),246.0)</f>
        <v>246</v>
      </c>
      <c r="L178" s="231">
        <f>IFERROR(__xludf.DUMMYFUNCTION("""COMPUTED_VALUE"""),283.0)</f>
        <v>283</v>
      </c>
    </row>
    <row r="179">
      <c r="A179" s="203">
        <v>45395.0</v>
      </c>
      <c r="B179" s="204" t="s">
        <v>1</v>
      </c>
      <c r="C179" s="227">
        <v>13.0</v>
      </c>
      <c r="D179" s="223">
        <v>21.0</v>
      </c>
      <c r="E179" s="228" t="s">
        <v>157</v>
      </c>
      <c r="G179" s="222">
        <v>247.0</v>
      </c>
      <c r="H179" s="223">
        <v>283.0</v>
      </c>
      <c r="J179" s="224">
        <f>IFERROR(__xludf.DUMMYFUNCTION("""COMPUTED_VALUE"""),45395.0)</f>
        <v>45395</v>
      </c>
      <c r="K179" s="230">
        <f>IFERROR(__xludf.DUMMYFUNCTION("""COMPUTED_VALUE"""),247.0)</f>
        <v>247</v>
      </c>
      <c r="L179" s="231">
        <f>IFERROR(__xludf.DUMMYFUNCTION("""COMPUTED_VALUE"""),283.0)</f>
        <v>283</v>
      </c>
    </row>
    <row r="180">
      <c r="A180" s="203">
        <v>45395.0</v>
      </c>
      <c r="B180" s="204" t="s">
        <v>67</v>
      </c>
      <c r="C180" s="227">
        <v>14.0</v>
      </c>
      <c r="D180" s="223">
        <v>24.0</v>
      </c>
      <c r="E180" s="228" t="s">
        <v>158</v>
      </c>
      <c r="G180" s="222">
        <v>247.0</v>
      </c>
      <c r="H180" s="223">
        <v>285.0</v>
      </c>
      <c r="J180" s="224">
        <f>IFERROR(__xludf.DUMMYFUNCTION("""COMPUTED_VALUE"""),45395.0)</f>
        <v>45395</v>
      </c>
      <c r="K180" s="230">
        <f>IFERROR(__xludf.DUMMYFUNCTION("""COMPUTED_VALUE"""),247.0)</f>
        <v>247</v>
      </c>
      <c r="L180" s="231">
        <f>IFERROR(__xludf.DUMMYFUNCTION("""COMPUTED_VALUE"""),285.0)</f>
        <v>285</v>
      </c>
    </row>
    <row r="181">
      <c r="A181" s="203">
        <v>45395.0</v>
      </c>
      <c r="B181" s="204" t="s">
        <v>64</v>
      </c>
      <c r="C181" s="227">
        <v>14.0</v>
      </c>
      <c r="D181" s="223">
        <v>11.0</v>
      </c>
      <c r="E181" s="228" t="s">
        <v>157</v>
      </c>
      <c r="G181" s="222">
        <v>248.0</v>
      </c>
      <c r="H181" s="223">
        <v>285.0</v>
      </c>
      <c r="J181" s="224">
        <f>IFERROR(__xludf.DUMMYFUNCTION("""COMPUTED_VALUE"""),45395.0)</f>
        <v>45395</v>
      </c>
      <c r="K181" s="230">
        <f>IFERROR(__xludf.DUMMYFUNCTION("""COMPUTED_VALUE"""),248.0)</f>
        <v>248</v>
      </c>
      <c r="L181" s="231">
        <f>IFERROR(__xludf.DUMMYFUNCTION("""COMPUTED_VALUE"""),285.0)</f>
        <v>285</v>
      </c>
    </row>
    <row r="182">
      <c r="A182" s="203">
        <v>45395.0</v>
      </c>
      <c r="B182" s="204" t="s">
        <v>115</v>
      </c>
      <c r="C182" s="227">
        <v>6.0</v>
      </c>
      <c r="D182" s="223">
        <v>14.0</v>
      </c>
      <c r="E182" s="228" t="s">
        <v>158</v>
      </c>
      <c r="G182" s="222">
        <v>248.0</v>
      </c>
      <c r="H182" s="223">
        <v>286.0</v>
      </c>
      <c r="J182" s="224">
        <f>IFERROR(__xludf.DUMMYFUNCTION("""COMPUTED_VALUE"""),45395.0)</f>
        <v>45395</v>
      </c>
      <c r="K182" s="230">
        <f>IFERROR(__xludf.DUMMYFUNCTION("""COMPUTED_VALUE"""),248.0)</f>
        <v>248</v>
      </c>
      <c r="L182" s="231">
        <f>IFERROR(__xludf.DUMMYFUNCTION("""COMPUTED_VALUE"""),286.0)</f>
        <v>286</v>
      </c>
    </row>
    <row r="183">
      <c r="A183" s="203">
        <v>45417.0</v>
      </c>
      <c r="B183" s="204" t="s">
        <v>67</v>
      </c>
      <c r="C183" s="227">
        <v>14.0</v>
      </c>
      <c r="D183" s="223">
        <v>25.0</v>
      </c>
      <c r="E183" s="228" t="s">
        <v>158</v>
      </c>
      <c r="G183" s="222">
        <v>248.0</v>
      </c>
      <c r="H183" s="223">
        <v>287.0</v>
      </c>
      <c r="J183" s="224">
        <f>IFERROR(__xludf.DUMMYFUNCTION("""COMPUTED_VALUE"""),45417.0)</f>
        <v>45417</v>
      </c>
      <c r="K183" s="230">
        <f>IFERROR(__xludf.DUMMYFUNCTION("""COMPUTED_VALUE"""),248.0)</f>
        <v>248</v>
      </c>
      <c r="L183" s="231">
        <f>IFERROR(__xludf.DUMMYFUNCTION("""COMPUTED_VALUE"""),287.0)</f>
        <v>287</v>
      </c>
    </row>
    <row r="184">
      <c r="A184" s="203">
        <v>45417.0</v>
      </c>
      <c r="B184" s="204" t="s">
        <v>38</v>
      </c>
      <c r="C184" s="227">
        <v>7.0</v>
      </c>
      <c r="D184" s="223">
        <v>10.0</v>
      </c>
      <c r="E184" s="228" t="s">
        <v>158</v>
      </c>
      <c r="G184" s="222">
        <v>248.0</v>
      </c>
      <c r="H184" s="223">
        <v>288.0</v>
      </c>
      <c r="J184" s="224">
        <f>IFERROR(__xludf.DUMMYFUNCTION("""COMPUTED_VALUE"""),45417.0)</f>
        <v>45417</v>
      </c>
      <c r="K184" s="230">
        <f>IFERROR(__xludf.DUMMYFUNCTION("""COMPUTED_VALUE"""),248.0)</f>
        <v>248</v>
      </c>
      <c r="L184" s="231">
        <f>IFERROR(__xludf.DUMMYFUNCTION("""COMPUTED_VALUE"""),288.0)</f>
        <v>288</v>
      </c>
    </row>
    <row r="185">
      <c r="A185" s="203">
        <v>45417.0</v>
      </c>
      <c r="B185" s="204" t="s">
        <v>175</v>
      </c>
      <c r="C185" s="227">
        <v>12.0</v>
      </c>
      <c r="D185" s="223">
        <v>18.0</v>
      </c>
      <c r="E185" s="228" t="s">
        <v>158</v>
      </c>
      <c r="G185" s="222">
        <v>248.0</v>
      </c>
      <c r="H185" s="223">
        <v>289.0</v>
      </c>
      <c r="J185" s="224">
        <f>IFERROR(__xludf.DUMMYFUNCTION("""COMPUTED_VALUE"""),45417.0)</f>
        <v>45417</v>
      </c>
      <c r="K185" s="230">
        <f>IFERROR(__xludf.DUMMYFUNCTION("""COMPUTED_VALUE"""),248.0)</f>
        <v>248</v>
      </c>
      <c r="L185" s="231">
        <f>IFERROR(__xludf.DUMMYFUNCTION("""COMPUTED_VALUE"""),289.0)</f>
        <v>289</v>
      </c>
    </row>
    <row r="186">
      <c r="A186" s="203">
        <v>45431.0</v>
      </c>
      <c r="B186" s="204" t="s">
        <v>39</v>
      </c>
      <c r="C186" s="227">
        <v>8.0</v>
      </c>
      <c r="D186" s="223">
        <v>5.0</v>
      </c>
      <c r="E186" s="228" t="s">
        <v>158</v>
      </c>
      <c r="G186" s="222">
        <v>248.0</v>
      </c>
      <c r="H186" s="223">
        <v>290.0</v>
      </c>
      <c r="J186" s="224">
        <f>IFERROR(__xludf.DUMMYFUNCTION("""COMPUTED_VALUE"""),45431.0)</f>
        <v>45431</v>
      </c>
      <c r="K186" s="230">
        <f>IFERROR(__xludf.DUMMYFUNCTION("""COMPUTED_VALUE"""),248.0)</f>
        <v>248</v>
      </c>
      <c r="L186" s="231">
        <f>IFERROR(__xludf.DUMMYFUNCTION("""COMPUTED_VALUE"""),290.0)</f>
        <v>290</v>
      </c>
    </row>
    <row r="187">
      <c r="A187" s="203">
        <v>45431.0</v>
      </c>
      <c r="B187" s="204" t="s">
        <v>172</v>
      </c>
      <c r="C187" s="227">
        <v>14.0</v>
      </c>
      <c r="D187" s="223">
        <v>17.0</v>
      </c>
      <c r="E187" s="228" t="s">
        <v>158</v>
      </c>
      <c r="G187" s="222">
        <v>248.0</v>
      </c>
      <c r="H187" s="223">
        <v>291.0</v>
      </c>
      <c r="J187" s="224">
        <f>IFERROR(__xludf.DUMMYFUNCTION("""COMPUTED_VALUE"""),45431.0)</f>
        <v>45431</v>
      </c>
      <c r="K187" s="230">
        <f>IFERROR(__xludf.DUMMYFUNCTION("""COMPUTED_VALUE"""),248.0)</f>
        <v>248</v>
      </c>
      <c r="L187" s="231">
        <f>IFERROR(__xludf.DUMMYFUNCTION("""COMPUTED_VALUE"""),291.0)</f>
        <v>291</v>
      </c>
    </row>
    <row r="188">
      <c r="A188" s="203">
        <v>45431.0</v>
      </c>
      <c r="B188" s="204" t="s">
        <v>106</v>
      </c>
      <c r="C188" s="227">
        <v>7.0</v>
      </c>
      <c r="D188" s="223">
        <v>5.0</v>
      </c>
      <c r="E188" s="228" t="s">
        <v>158</v>
      </c>
      <c r="G188" s="222">
        <v>248.0</v>
      </c>
      <c r="H188" s="223">
        <v>292.0</v>
      </c>
      <c r="J188" s="224">
        <f>IFERROR(__xludf.DUMMYFUNCTION("""COMPUTED_VALUE"""),45431.0)</f>
        <v>45431</v>
      </c>
      <c r="K188" s="230">
        <f>IFERROR(__xludf.DUMMYFUNCTION("""COMPUTED_VALUE"""),248.0)</f>
        <v>248</v>
      </c>
      <c r="L188" s="231">
        <f>IFERROR(__xludf.DUMMYFUNCTION("""COMPUTED_VALUE"""),292.0)</f>
        <v>292</v>
      </c>
    </row>
    <row r="189">
      <c r="A189" s="203">
        <v>45431.0</v>
      </c>
      <c r="B189" s="204" t="s">
        <v>106</v>
      </c>
      <c r="C189" s="227">
        <v>8.0</v>
      </c>
      <c r="D189" s="223">
        <v>5.0</v>
      </c>
      <c r="E189" s="228" t="s">
        <v>157</v>
      </c>
      <c r="G189" s="222">
        <v>249.0</v>
      </c>
      <c r="H189" s="223">
        <v>292.0</v>
      </c>
      <c r="J189" s="224">
        <f>IFERROR(__xludf.DUMMYFUNCTION("""COMPUTED_VALUE"""),45431.0)</f>
        <v>45431</v>
      </c>
      <c r="K189" s="230">
        <f>IFERROR(__xludf.DUMMYFUNCTION("""COMPUTED_VALUE"""),249.0)</f>
        <v>249</v>
      </c>
      <c r="L189" s="231">
        <f>IFERROR(__xludf.DUMMYFUNCTION("""COMPUTED_VALUE"""),292.0)</f>
        <v>292</v>
      </c>
    </row>
    <row r="190">
      <c r="A190" s="203">
        <v>45431.0</v>
      </c>
      <c r="B190" s="204" t="s">
        <v>64</v>
      </c>
      <c r="C190" s="227">
        <v>14.0</v>
      </c>
      <c r="D190" s="223">
        <v>12.0</v>
      </c>
      <c r="E190" s="228" t="s">
        <v>158</v>
      </c>
      <c r="G190" s="222">
        <v>249.0</v>
      </c>
      <c r="H190" s="223">
        <v>293.0</v>
      </c>
      <c r="J190" s="224">
        <f>IFERROR(__xludf.DUMMYFUNCTION("""COMPUTED_VALUE"""),45431.0)</f>
        <v>45431</v>
      </c>
      <c r="K190" s="230">
        <f>IFERROR(__xludf.DUMMYFUNCTION("""COMPUTED_VALUE"""),249.0)</f>
        <v>249</v>
      </c>
      <c r="L190" s="231">
        <f>IFERROR(__xludf.DUMMYFUNCTION("""COMPUTED_VALUE"""),293.0)</f>
        <v>293</v>
      </c>
    </row>
    <row r="191">
      <c r="A191" s="203">
        <v>45442.0</v>
      </c>
      <c r="B191" s="204" t="s">
        <v>134</v>
      </c>
      <c r="C191" s="227">
        <v>14.0</v>
      </c>
      <c r="D191" s="223">
        <v>4.0</v>
      </c>
      <c r="E191" s="228" t="s">
        <v>157</v>
      </c>
      <c r="G191" s="222">
        <v>250.0</v>
      </c>
      <c r="H191" s="223">
        <v>293.0</v>
      </c>
      <c r="J191" s="224">
        <f>IFERROR(__xludf.DUMMYFUNCTION("""COMPUTED_VALUE"""),45442.0)</f>
        <v>45442</v>
      </c>
      <c r="K191" s="230">
        <f>IFERROR(__xludf.DUMMYFUNCTION("""COMPUTED_VALUE"""),250.0)</f>
        <v>250</v>
      </c>
      <c r="L191" s="231">
        <f>IFERROR(__xludf.DUMMYFUNCTION("""COMPUTED_VALUE"""),293.0)</f>
        <v>293</v>
      </c>
    </row>
    <row r="192">
      <c r="A192" s="203">
        <v>45442.0</v>
      </c>
      <c r="B192" s="204" t="s">
        <v>84</v>
      </c>
      <c r="C192" s="227">
        <v>12.0</v>
      </c>
      <c r="D192" s="223">
        <v>9.0</v>
      </c>
      <c r="E192" s="228" t="s">
        <v>158</v>
      </c>
      <c r="G192" s="222">
        <v>250.0</v>
      </c>
      <c r="H192" s="223">
        <v>294.0</v>
      </c>
      <c r="J192" s="224">
        <f>IFERROR(__xludf.DUMMYFUNCTION("""COMPUTED_VALUE"""),45442.0)</f>
        <v>45442</v>
      </c>
      <c r="K192" s="230">
        <f>IFERROR(__xludf.DUMMYFUNCTION("""COMPUTED_VALUE"""),250.0)</f>
        <v>250</v>
      </c>
      <c r="L192" s="231">
        <f>IFERROR(__xludf.DUMMYFUNCTION("""COMPUTED_VALUE"""),294.0)</f>
        <v>294</v>
      </c>
    </row>
    <row r="193">
      <c r="A193" s="203">
        <v>45442.0</v>
      </c>
      <c r="B193" s="204" t="s">
        <v>84</v>
      </c>
      <c r="C193" s="227">
        <v>13.0</v>
      </c>
      <c r="D193" s="223">
        <v>9.0</v>
      </c>
      <c r="E193" s="228" t="s">
        <v>157</v>
      </c>
      <c r="G193" s="222">
        <v>251.0</v>
      </c>
      <c r="H193" s="223">
        <v>294.0</v>
      </c>
      <c r="J193" s="224">
        <f>IFERROR(__xludf.DUMMYFUNCTION("""COMPUTED_VALUE"""),45442.0)</f>
        <v>45442</v>
      </c>
      <c r="K193" s="230">
        <f>IFERROR(__xludf.DUMMYFUNCTION("""COMPUTED_VALUE"""),251.0)</f>
        <v>251</v>
      </c>
      <c r="L193" s="231">
        <f>IFERROR(__xludf.DUMMYFUNCTION("""COMPUTED_VALUE"""),294.0)</f>
        <v>294</v>
      </c>
    </row>
    <row r="194">
      <c r="A194" s="203">
        <v>45442.0</v>
      </c>
      <c r="B194" s="204" t="s">
        <v>179</v>
      </c>
      <c r="C194" s="227">
        <v>10.0</v>
      </c>
      <c r="D194" s="223">
        <v>10.0</v>
      </c>
      <c r="E194" s="228" t="s">
        <v>157</v>
      </c>
      <c r="G194" s="222">
        <v>252.0</v>
      </c>
      <c r="H194" s="223">
        <v>294.0</v>
      </c>
      <c r="J194" s="224">
        <f>IFERROR(__xludf.DUMMYFUNCTION("""COMPUTED_VALUE"""),45442.0)</f>
        <v>45442</v>
      </c>
      <c r="K194" s="230">
        <f>IFERROR(__xludf.DUMMYFUNCTION("""COMPUTED_VALUE"""),252.0)</f>
        <v>252</v>
      </c>
      <c r="L194" s="231">
        <f>IFERROR(__xludf.DUMMYFUNCTION("""COMPUTED_VALUE"""),294.0)</f>
        <v>294</v>
      </c>
    </row>
    <row r="195">
      <c r="A195" s="203">
        <v>45442.0</v>
      </c>
      <c r="B195" s="204" t="s">
        <v>107</v>
      </c>
      <c r="C195" s="227">
        <v>12.0</v>
      </c>
      <c r="D195" s="223">
        <v>20.0</v>
      </c>
      <c r="E195" s="228" t="s">
        <v>157</v>
      </c>
      <c r="G195" s="222">
        <v>253.0</v>
      </c>
      <c r="H195" s="223">
        <v>294.0</v>
      </c>
      <c r="J195" s="224">
        <f>IFERROR(__xludf.DUMMYFUNCTION("""COMPUTED_VALUE"""),45442.0)</f>
        <v>45442</v>
      </c>
      <c r="K195" s="230">
        <f>IFERROR(__xludf.DUMMYFUNCTION("""COMPUTED_VALUE"""),253.0)</f>
        <v>253</v>
      </c>
      <c r="L195" s="231">
        <f>IFERROR(__xludf.DUMMYFUNCTION("""COMPUTED_VALUE"""),294.0)</f>
        <v>294</v>
      </c>
    </row>
    <row r="196">
      <c r="A196" s="203">
        <v>45459.0</v>
      </c>
      <c r="B196" s="204" t="s">
        <v>165</v>
      </c>
      <c r="C196" s="227">
        <v>15.0</v>
      </c>
      <c r="D196" s="223">
        <v>27.0</v>
      </c>
      <c r="E196" s="228" t="s">
        <v>158</v>
      </c>
      <c r="G196" s="222">
        <v>253.0</v>
      </c>
      <c r="H196" s="223">
        <v>295.0</v>
      </c>
      <c r="J196" s="224">
        <f>IFERROR(__xludf.DUMMYFUNCTION("""COMPUTED_VALUE"""),45459.0)</f>
        <v>45459</v>
      </c>
      <c r="K196" s="230">
        <f>IFERROR(__xludf.DUMMYFUNCTION("""COMPUTED_VALUE"""),253.0)</f>
        <v>253</v>
      </c>
      <c r="L196" s="231">
        <f>IFERROR(__xludf.DUMMYFUNCTION("""COMPUTED_VALUE"""),295.0)</f>
        <v>295</v>
      </c>
    </row>
    <row r="197">
      <c r="A197" s="203">
        <v>45459.0</v>
      </c>
      <c r="B197" s="204" t="s">
        <v>181</v>
      </c>
      <c r="C197" s="227">
        <v>11.0</v>
      </c>
      <c r="D197" s="223">
        <v>8.0</v>
      </c>
      <c r="E197" s="228" t="s">
        <v>158</v>
      </c>
      <c r="G197" s="222">
        <v>253.0</v>
      </c>
      <c r="H197" s="223">
        <v>296.0</v>
      </c>
      <c r="J197" s="224">
        <f>IFERROR(__xludf.DUMMYFUNCTION("""COMPUTED_VALUE"""),45459.0)</f>
        <v>45459</v>
      </c>
      <c r="K197" s="230">
        <f>IFERROR(__xludf.DUMMYFUNCTION("""COMPUTED_VALUE"""),253.0)</f>
        <v>253</v>
      </c>
      <c r="L197" s="231">
        <f>IFERROR(__xludf.DUMMYFUNCTION("""COMPUTED_VALUE"""),296.0)</f>
        <v>296</v>
      </c>
    </row>
    <row r="198">
      <c r="A198" s="203">
        <v>45459.0</v>
      </c>
      <c r="B198" s="204" t="s">
        <v>181</v>
      </c>
      <c r="C198" s="227">
        <v>12.0</v>
      </c>
      <c r="D198" s="223">
        <v>7.0</v>
      </c>
      <c r="E198" s="228" t="s">
        <v>157</v>
      </c>
      <c r="G198" s="222">
        <v>254.0</v>
      </c>
      <c r="H198" s="223">
        <v>295.0</v>
      </c>
      <c r="J198" s="224">
        <f>IFERROR(__xludf.DUMMYFUNCTION("""COMPUTED_VALUE"""),45459.0)</f>
        <v>45459</v>
      </c>
      <c r="K198" s="230">
        <f>IFERROR(__xludf.DUMMYFUNCTION("""COMPUTED_VALUE"""),254.0)</f>
        <v>254</v>
      </c>
      <c r="L198" s="231">
        <f>IFERROR(__xludf.DUMMYFUNCTION("""COMPUTED_VALUE"""),295.0)</f>
        <v>295</v>
      </c>
    </row>
    <row r="199">
      <c r="A199" s="203">
        <v>45459.0</v>
      </c>
      <c r="B199" s="204" t="s">
        <v>115</v>
      </c>
      <c r="C199" s="227">
        <v>7.0</v>
      </c>
      <c r="D199" s="223">
        <v>14.0</v>
      </c>
      <c r="E199" s="228" t="s">
        <v>157</v>
      </c>
      <c r="G199" s="222">
        <v>255.0</v>
      </c>
      <c r="H199" s="223">
        <v>295.0</v>
      </c>
      <c r="J199" s="224">
        <f>IFERROR(__xludf.DUMMYFUNCTION("""COMPUTED_VALUE"""),45459.0)</f>
        <v>45459</v>
      </c>
      <c r="K199" s="230">
        <f>IFERROR(__xludf.DUMMYFUNCTION("""COMPUTED_VALUE"""),255.0)</f>
        <v>255</v>
      </c>
      <c r="L199" s="231">
        <f>IFERROR(__xludf.DUMMYFUNCTION("""COMPUTED_VALUE"""),295.0)</f>
        <v>295</v>
      </c>
    </row>
    <row r="200">
      <c r="A200" s="203">
        <v>45459.0</v>
      </c>
      <c r="B200" s="204" t="s">
        <v>178</v>
      </c>
      <c r="C200" s="227">
        <v>10.0</v>
      </c>
      <c r="D200" s="223">
        <v>13.0</v>
      </c>
      <c r="E200" s="228" t="s">
        <v>158</v>
      </c>
      <c r="G200" s="222">
        <v>255.0</v>
      </c>
      <c r="H200" s="223">
        <v>296.0</v>
      </c>
      <c r="J200" s="224">
        <f>IFERROR(__xludf.DUMMYFUNCTION("""COMPUTED_VALUE"""),45459.0)</f>
        <v>45459</v>
      </c>
      <c r="K200" s="230">
        <f>IFERROR(__xludf.DUMMYFUNCTION("""COMPUTED_VALUE"""),255.0)</f>
        <v>255</v>
      </c>
      <c r="L200" s="231">
        <f>IFERROR(__xludf.DUMMYFUNCTION("""COMPUTED_VALUE"""),296.0)</f>
        <v>296</v>
      </c>
    </row>
    <row r="201">
      <c r="A201" s="203">
        <v>45459.0</v>
      </c>
      <c r="B201" s="204" t="s">
        <v>113</v>
      </c>
      <c r="C201" s="227">
        <v>11.0</v>
      </c>
      <c r="D201" s="223">
        <v>10.0</v>
      </c>
      <c r="E201" s="228" t="s">
        <v>158</v>
      </c>
      <c r="G201" s="222">
        <v>255.0</v>
      </c>
      <c r="H201" s="223">
        <v>297.0</v>
      </c>
      <c r="J201" s="224">
        <f>IFERROR(__xludf.DUMMYFUNCTION("""COMPUTED_VALUE"""),45459.0)</f>
        <v>45459</v>
      </c>
      <c r="K201" s="230">
        <f>IFERROR(__xludf.DUMMYFUNCTION("""COMPUTED_VALUE"""),255.0)</f>
        <v>255</v>
      </c>
      <c r="L201" s="231">
        <f>IFERROR(__xludf.DUMMYFUNCTION("""COMPUTED_VALUE"""),297.0)</f>
        <v>297</v>
      </c>
    </row>
    <row r="202">
      <c r="A202" s="203">
        <v>45459.0</v>
      </c>
      <c r="B202" s="204" t="s">
        <v>113</v>
      </c>
      <c r="C202" s="227">
        <v>12.0</v>
      </c>
      <c r="D202" s="223">
        <v>9.0</v>
      </c>
      <c r="E202" s="228" t="s">
        <v>157</v>
      </c>
      <c r="G202" s="222">
        <v>256.0</v>
      </c>
      <c r="H202" s="223">
        <v>296.0</v>
      </c>
      <c r="J202" s="224">
        <f>IFERROR(__xludf.DUMMYFUNCTION("""COMPUTED_VALUE"""),45459.0)</f>
        <v>45459</v>
      </c>
      <c r="K202" s="230">
        <f>IFERROR(__xludf.DUMMYFUNCTION("""COMPUTED_VALUE"""),256.0)</f>
        <v>256</v>
      </c>
      <c r="L202" s="231">
        <f>IFERROR(__xludf.DUMMYFUNCTION("""COMPUTED_VALUE"""),296.0)</f>
        <v>296</v>
      </c>
    </row>
    <row r="203">
      <c r="A203" s="203">
        <v>45499.0</v>
      </c>
      <c r="B203" s="204" t="s">
        <v>177</v>
      </c>
      <c r="C203" s="227">
        <v>7.0</v>
      </c>
      <c r="D203" s="223">
        <v>16.0</v>
      </c>
      <c r="E203" s="228" t="s">
        <v>158</v>
      </c>
      <c r="G203" s="222">
        <v>256.0</v>
      </c>
      <c r="H203" s="223">
        <v>297.0</v>
      </c>
      <c r="J203" s="224">
        <f>IFERROR(__xludf.DUMMYFUNCTION("""COMPUTED_VALUE"""),45499.0)</f>
        <v>45499</v>
      </c>
      <c r="K203" s="230">
        <f>IFERROR(__xludf.DUMMYFUNCTION("""COMPUTED_VALUE"""),256.0)</f>
        <v>256</v>
      </c>
      <c r="L203" s="231">
        <f>IFERROR(__xludf.DUMMYFUNCTION("""COMPUTED_VALUE"""),297.0)</f>
        <v>297</v>
      </c>
    </row>
    <row r="204">
      <c r="A204" s="203">
        <v>45499.0</v>
      </c>
      <c r="B204" s="204" t="s">
        <v>84</v>
      </c>
      <c r="C204" s="227">
        <v>13.0</v>
      </c>
      <c r="D204" s="223">
        <v>10.0</v>
      </c>
      <c r="E204" s="228" t="s">
        <v>158</v>
      </c>
      <c r="G204" s="222">
        <v>256.0</v>
      </c>
      <c r="H204" s="223">
        <v>298.0</v>
      </c>
      <c r="J204" s="224">
        <f>IFERROR(__xludf.DUMMYFUNCTION("""COMPUTED_VALUE"""),45499.0)</f>
        <v>45499</v>
      </c>
      <c r="K204" s="230">
        <f>IFERROR(__xludf.DUMMYFUNCTION("""COMPUTED_VALUE"""),256.0)</f>
        <v>256</v>
      </c>
      <c r="L204" s="231">
        <f>IFERROR(__xludf.DUMMYFUNCTION("""COMPUTED_VALUE"""),298.0)</f>
        <v>298</v>
      </c>
    </row>
    <row r="205">
      <c r="A205" s="203">
        <v>45499.0</v>
      </c>
      <c r="B205" s="204" t="s">
        <v>176</v>
      </c>
      <c r="C205" s="227">
        <v>13.0</v>
      </c>
      <c r="D205" s="223">
        <v>10.0</v>
      </c>
      <c r="E205" s="228" t="s">
        <v>158</v>
      </c>
      <c r="G205" s="222">
        <v>256.0</v>
      </c>
      <c r="H205" s="223">
        <v>299.0</v>
      </c>
      <c r="J205" s="224">
        <f>IFERROR(__xludf.DUMMYFUNCTION("""COMPUTED_VALUE"""),45499.0)</f>
        <v>45499</v>
      </c>
      <c r="K205" s="230">
        <f>IFERROR(__xludf.DUMMYFUNCTION("""COMPUTED_VALUE"""),256.0)</f>
        <v>256</v>
      </c>
      <c r="L205" s="231">
        <f>IFERROR(__xludf.DUMMYFUNCTION("""COMPUTED_VALUE"""),299.0)</f>
        <v>299</v>
      </c>
    </row>
    <row r="206">
      <c r="A206" s="203">
        <v>45499.0</v>
      </c>
      <c r="B206" s="204" t="s">
        <v>106</v>
      </c>
      <c r="C206" s="227">
        <v>8.0</v>
      </c>
      <c r="D206" s="223">
        <v>6.0</v>
      </c>
      <c r="E206" s="228" t="s">
        <v>158</v>
      </c>
      <c r="G206" s="222">
        <v>256.0</v>
      </c>
      <c r="H206" s="223">
        <v>300.0</v>
      </c>
      <c r="J206" s="224">
        <f>IFERROR(__xludf.DUMMYFUNCTION("""COMPUTED_VALUE"""),45499.0)</f>
        <v>45499</v>
      </c>
      <c r="K206" s="230">
        <f>IFERROR(__xludf.DUMMYFUNCTION("""COMPUTED_VALUE"""),256.0)</f>
        <v>256</v>
      </c>
      <c r="L206" s="231">
        <f>IFERROR(__xludf.DUMMYFUNCTION("""COMPUTED_VALUE"""),300.0)</f>
        <v>300</v>
      </c>
    </row>
    <row r="207">
      <c r="A207" s="203">
        <v>45499.0</v>
      </c>
      <c r="B207" s="204" t="s">
        <v>165</v>
      </c>
      <c r="C207" s="227">
        <v>16.0</v>
      </c>
      <c r="D207" s="223">
        <v>27.0</v>
      </c>
      <c r="E207" s="228" t="s">
        <v>157</v>
      </c>
      <c r="G207" s="222">
        <v>257.0</v>
      </c>
      <c r="H207" s="223">
        <v>300.0</v>
      </c>
      <c r="J207" s="224">
        <f>IFERROR(__xludf.DUMMYFUNCTION("""COMPUTED_VALUE"""),45499.0)</f>
        <v>45499</v>
      </c>
      <c r="K207" s="230">
        <f>IFERROR(__xludf.DUMMYFUNCTION("""COMPUTED_VALUE"""),257.0)</f>
        <v>257</v>
      </c>
      <c r="L207" s="231">
        <f>IFERROR(__xludf.DUMMYFUNCTION("""COMPUTED_VALUE"""),300.0)</f>
        <v>300</v>
      </c>
    </row>
    <row r="208">
      <c r="A208" s="203">
        <v>45505.0</v>
      </c>
      <c r="B208" s="204" t="s">
        <v>180</v>
      </c>
      <c r="C208" s="227">
        <v>11.0</v>
      </c>
      <c r="D208" s="223">
        <v>9.0</v>
      </c>
      <c r="E208" s="228" t="s">
        <v>158</v>
      </c>
      <c r="G208" s="222">
        <v>257.0</v>
      </c>
      <c r="H208" s="223">
        <v>302.0</v>
      </c>
      <c r="J208" s="224">
        <f>IFERROR(__xludf.DUMMYFUNCTION("""COMPUTED_VALUE"""),45505.0)</f>
        <v>45505</v>
      </c>
      <c r="K208" s="230">
        <f>IFERROR(__xludf.DUMMYFUNCTION("""COMPUTED_VALUE"""),257.0)</f>
        <v>257</v>
      </c>
      <c r="L208" s="231">
        <f>IFERROR(__xludf.DUMMYFUNCTION("""COMPUTED_VALUE"""),302.0)</f>
        <v>302</v>
      </c>
    </row>
    <row r="209">
      <c r="A209" s="203">
        <v>45505.0</v>
      </c>
      <c r="B209" s="204" t="s">
        <v>176</v>
      </c>
      <c r="C209" s="227">
        <v>13.0</v>
      </c>
      <c r="D209" s="223">
        <v>11.0</v>
      </c>
      <c r="E209" s="228" t="s">
        <v>158</v>
      </c>
      <c r="G209" s="222">
        <v>257.0</v>
      </c>
      <c r="H209" s="223">
        <v>303.0</v>
      </c>
      <c r="J209" s="224">
        <f>IFERROR(__xludf.DUMMYFUNCTION("""COMPUTED_VALUE"""),45505.0)</f>
        <v>45505</v>
      </c>
      <c r="K209" s="230">
        <f>IFERROR(__xludf.DUMMYFUNCTION("""COMPUTED_VALUE"""),257.0)</f>
        <v>257</v>
      </c>
      <c r="L209" s="231">
        <f>IFERROR(__xludf.DUMMYFUNCTION("""COMPUTED_VALUE"""),303.0)</f>
        <v>303</v>
      </c>
    </row>
    <row r="210">
      <c r="A210" s="203">
        <v>45505.0</v>
      </c>
      <c r="B210" s="204" t="s">
        <v>179</v>
      </c>
      <c r="C210" s="227">
        <v>11.0</v>
      </c>
      <c r="D210" s="223">
        <v>10.0</v>
      </c>
      <c r="E210" s="228" t="s">
        <v>157</v>
      </c>
      <c r="G210" s="222">
        <v>258.0</v>
      </c>
      <c r="H210" s="223">
        <v>303.0</v>
      </c>
      <c r="J210" s="224">
        <f>IFERROR(__xludf.DUMMYFUNCTION("""COMPUTED_VALUE"""),45505.0)</f>
        <v>45505</v>
      </c>
      <c r="K210" s="230">
        <f>IFERROR(__xludf.DUMMYFUNCTION("""COMPUTED_VALUE"""),258.0)</f>
        <v>258</v>
      </c>
      <c r="L210" s="231">
        <f>IFERROR(__xludf.DUMMYFUNCTION("""COMPUTED_VALUE"""),303.0)</f>
        <v>303</v>
      </c>
    </row>
    <row r="211">
      <c r="A211" s="203">
        <v>45505.0</v>
      </c>
      <c r="B211" s="204" t="s">
        <v>178</v>
      </c>
      <c r="C211" s="227">
        <v>10.0</v>
      </c>
      <c r="D211" s="223">
        <v>14.0</v>
      </c>
      <c r="E211" s="228" t="s">
        <v>158</v>
      </c>
      <c r="G211" s="222">
        <v>258.0</v>
      </c>
      <c r="H211" s="223">
        <v>304.0</v>
      </c>
      <c r="J211" s="224">
        <f>IFERROR(__xludf.DUMMYFUNCTION("""COMPUTED_VALUE"""),45505.0)</f>
        <v>45505</v>
      </c>
      <c r="K211" s="230">
        <f>IFERROR(__xludf.DUMMYFUNCTION("""COMPUTED_VALUE"""),258.0)</f>
        <v>258</v>
      </c>
      <c r="L211" s="231">
        <f>IFERROR(__xludf.DUMMYFUNCTION("""COMPUTED_VALUE"""),304.0)</f>
        <v>304</v>
      </c>
    </row>
    <row r="212">
      <c r="A212" s="203">
        <v>45505.0</v>
      </c>
      <c r="B212" s="204" t="s">
        <v>178</v>
      </c>
      <c r="C212" s="227">
        <v>11.0</v>
      </c>
      <c r="D212" s="223">
        <v>14.0</v>
      </c>
      <c r="E212" s="228" t="s">
        <v>157</v>
      </c>
      <c r="G212" s="222">
        <v>259.0</v>
      </c>
      <c r="H212" s="223">
        <v>304.0</v>
      </c>
      <c r="J212" s="224">
        <f>IFERROR(__xludf.DUMMYFUNCTION("""COMPUTED_VALUE"""),45505.0)</f>
        <v>45505</v>
      </c>
      <c r="K212" s="230">
        <f>IFERROR(__xludf.DUMMYFUNCTION("""COMPUTED_VALUE"""),259.0)</f>
        <v>259</v>
      </c>
      <c r="L212" s="231">
        <f>IFERROR(__xludf.DUMMYFUNCTION("""COMPUTED_VALUE"""),304.0)</f>
        <v>304</v>
      </c>
    </row>
    <row r="213">
      <c r="A213" s="203">
        <v>45506.0</v>
      </c>
      <c r="B213" s="204" t="s">
        <v>3</v>
      </c>
      <c r="C213" s="227">
        <v>11.0</v>
      </c>
      <c r="D213" s="223">
        <v>17.0</v>
      </c>
      <c r="E213" s="228" t="s">
        <v>157</v>
      </c>
      <c r="G213" s="222">
        <v>260.0</v>
      </c>
      <c r="H213" s="223">
        <v>304.0</v>
      </c>
      <c r="J213" s="224">
        <f>IFERROR(__xludf.DUMMYFUNCTION("""COMPUTED_VALUE"""),45506.0)</f>
        <v>45506</v>
      </c>
      <c r="K213" s="230">
        <f>IFERROR(__xludf.DUMMYFUNCTION("""COMPUTED_VALUE"""),260.0)</f>
        <v>260</v>
      </c>
      <c r="L213" s="231">
        <f>IFERROR(__xludf.DUMMYFUNCTION("""COMPUTED_VALUE"""),304.0)</f>
        <v>304</v>
      </c>
    </row>
    <row r="214">
      <c r="A214" s="203">
        <v>45506.0</v>
      </c>
      <c r="B214" s="204" t="s">
        <v>177</v>
      </c>
      <c r="C214" s="227">
        <v>7.0</v>
      </c>
      <c r="D214" s="223">
        <v>17.0</v>
      </c>
      <c r="E214" s="228" t="s">
        <v>158</v>
      </c>
      <c r="G214" s="222">
        <v>260.0</v>
      </c>
      <c r="H214" s="223">
        <v>305.0</v>
      </c>
      <c r="J214" s="224">
        <f>IFERROR(__xludf.DUMMYFUNCTION("""COMPUTED_VALUE"""),45506.0)</f>
        <v>45506</v>
      </c>
      <c r="K214" s="230">
        <f>IFERROR(__xludf.DUMMYFUNCTION("""COMPUTED_VALUE"""),260.0)</f>
        <v>260</v>
      </c>
      <c r="L214" s="231">
        <f>IFERROR(__xludf.DUMMYFUNCTION("""COMPUTED_VALUE"""),305.0)</f>
        <v>305</v>
      </c>
    </row>
    <row r="215">
      <c r="A215" s="203">
        <v>45506.0</v>
      </c>
      <c r="B215" s="204" t="s">
        <v>2</v>
      </c>
      <c r="C215" s="227">
        <v>2.0</v>
      </c>
      <c r="D215" s="223">
        <v>10.0</v>
      </c>
      <c r="E215" s="228" t="s">
        <v>158</v>
      </c>
      <c r="G215" s="222">
        <v>260.0</v>
      </c>
      <c r="H215" s="223">
        <v>306.0</v>
      </c>
      <c r="J215" s="224">
        <f>IFERROR(__xludf.DUMMYFUNCTION("""COMPUTED_VALUE"""),45506.0)</f>
        <v>45506</v>
      </c>
      <c r="K215" s="230">
        <f>IFERROR(__xludf.DUMMYFUNCTION("""COMPUTED_VALUE"""),260.0)</f>
        <v>260</v>
      </c>
      <c r="L215" s="231">
        <f>IFERROR(__xludf.DUMMYFUNCTION("""COMPUTED_VALUE"""),306.0)</f>
        <v>306</v>
      </c>
    </row>
    <row r="216">
      <c r="A216" s="203">
        <v>45506.0</v>
      </c>
      <c r="B216" s="204" t="s">
        <v>1</v>
      </c>
      <c r="C216" s="227">
        <v>14.0</v>
      </c>
      <c r="D216" s="223">
        <v>21.0</v>
      </c>
      <c r="E216" s="228" t="s">
        <v>157</v>
      </c>
      <c r="G216" s="222">
        <v>261.0</v>
      </c>
      <c r="H216" s="223">
        <v>306.0</v>
      </c>
      <c r="J216" s="224">
        <f>IFERROR(__xludf.DUMMYFUNCTION("""COMPUTED_VALUE"""),45506.0)</f>
        <v>45506</v>
      </c>
      <c r="K216" s="230">
        <f>IFERROR(__xludf.DUMMYFUNCTION("""COMPUTED_VALUE"""),261.0)</f>
        <v>261</v>
      </c>
      <c r="L216" s="231">
        <f>IFERROR(__xludf.DUMMYFUNCTION("""COMPUTED_VALUE"""),306.0)</f>
        <v>306</v>
      </c>
    </row>
    <row r="217">
      <c r="A217" s="203">
        <v>45506.0</v>
      </c>
      <c r="B217" s="204" t="s">
        <v>107</v>
      </c>
      <c r="C217" s="227">
        <v>12.0</v>
      </c>
      <c r="D217" s="223">
        <v>21.0</v>
      </c>
      <c r="E217" s="228" t="s">
        <v>158</v>
      </c>
      <c r="G217" s="222">
        <v>261.0</v>
      </c>
      <c r="H217" s="223">
        <v>307.0</v>
      </c>
      <c r="J217" s="224">
        <f>IFERROR(__xludf.DUMMYFUNCTION("""COMPUTED_VALUE"""),45506.0)</f>
        <v>45506</v>
      </c>
      <c r="K217" s="230">
        <f>IFERROR(__xludf.DUMMYFUNCTION("""COMPUTED_VALUE"""),261.0)</f>
        <v>261</v>
      </c>
      <c r="L217" s="231">
        <f>IFERROR(__xludf.DUMMYFUNCTION("""COMPUTED_VALUE"""),307.0)</f>
        <v>307</v>
      </c>
    </row>
    <row r="218">
      <c r="A218" s="203">
        <v>45506.0</v>
      </c>
      <c r="B218" s="204" t="s">
        <v>67</v>
      </c>
      <c r="C218" s="227">
        <v>15.0</v>
      </c>
      <c r="D218" s="223">
        <v>25.0</v>
      </c>
      <c r="E218" s="228" t="s">
        <v>157</v>
      </c>
      <c r="G218" s="222">
        <v>262.0</v>
      </c>
      <c r="H218" s="223">
        <v>307.0</v>
      </c>
      <c r="J218" s="224">
        <f>IFERROR(__xludf.DUMMYFUNCTION("""COMPUTED_VALUE"""),45506.0)</f>
        <v>45506</v>
      </c>
      <c r="K218" s="230">
        <f>IFERROR(__xludf.DUMMYFUNCTION("""COMPUTED_VALUE"""),262.0)</f>
        <v>262</v>
      </c>
      <c r="L218" s="231">
        <f>IFERROR(__xludf.DUMMYFUNCTION("""COMPUTED_VALUE"""),307.0)</f>
        <v>307</v>
      </c>
    </row>
    <row r="219">
      <c r="A219" s="203">
        <v>45506.0</v>
      </c>
      <c r="B219" s="204" t="s">
        <v>134</v>
      </c>
      <c r="C219" s="227">
        <v>15.0</v>
      </c>
      <c r="D219" s="223">
        <v>4.0</v>
      </c>
      <c r="E219" s="228" t="s">
        <v>157</v>
      </c>
      <c r="G219" s="222">
        <v>263.0</v>
      </c>
      <c r="H219" s="223">
        <v>307.0</v>
      </c>
      <c r="J219" s="224">
        <f>IFERROR(__xludf.DUMMYFUNCTION("""COMPUTED_VALUE"""),45506.0)</f>
        <v>45506</v>
      </c>
      <c r="K219" s="230">
        <f>IFERROR(__xludf.DUMMYFUNCTION("""COMPUTED_VALUE"""),263.0)</f>
        <v>263</v>
      </c>
      <c r="L219" s="231">
        <f>IFERROR(__xludf.DUMMYFUNCTION("""COMPUTED_VALUE"""),307.0)</f>
        <v>307</v>
      </c>
    </row>
    <row r="220">
      <c r="A220" s="203">
        <v>45509.0</v>
      </c>
      <c r="B220" s="204" t="s">
        <v>1</v>
      </c>
      <c r="C220" s="227">
        <v>15.0</v>
      </c>
      <c r="D220" s="223">
        <v>21.0</v>
      </c>
      <c r="E220" s="228" t="s">
        <v>157</v>
      </c>
      <c r="G220" s="222">
        <v>264.0</v>
      </c>
      <c r="H220" s="223">
        <v>307.0</v>
      </c>
      <c r="J220" s="224">
        <f>IFERROR(__xludf.DUMMYFUNCTION("""COMPUTED_VALUE"""),45509.0)</f>
        <v>45509</v>
      </c>
      <c r="K220" s="230">
        <f>IFERROR(__xludf.DUMMYFUNCTION("""COMPUTED_VALUE"""),264.0)</f>
        <v>264</v>
      </c>
      <c r="L220" s="231">
        <f>IFERROR(__xludf.DUMMYFUNCTION("""COMPUTED_VALUE"""),307.0)</f>
        <v>307</v>
      </c>
    </row>
    <row r="221">
      <c r="A221" s="203">
        <v>45509.0</v>
      </c>
      <c r="B221" s="204" t="s">
        <v>85</v>
      </c>
      <c r="C221" s="227">
        <v>4.0</v>
      </c>
      <c r="D221" s="223">
        <v>8.0</v>
      </c>
      <c r="E221" s="228" t="s">
        <v>158</v>
      </c>
      <c r="G221" s="222">
        <v>264.0</v>
      </c>
      <c r="H221" s="223">
        <v>308.0</v>
      </c>
      <c r="J221" s="224">
        <f>IFERROR(__xludf.DUMMYFUNCTION("""COMPUTED_VALUE"""),45509.0)</f>
        <v>45509</v>
      </c>
      <c r="K221" s="230">
        <f>IFERROR(__xludf.DUMMYFUNCTION("""COMPUTED_VALUE"""),264.0)</f>
        <v>264</v>
      </c>
      <c r="L221" s="231">
        <f>IFERROR(__xludf.DUMMYFUNCTION("""COMPUTED_VALUE"""),308.0)</f>
        <v>308</v>
      </c>
    </row>
    <row r="222">
      <c r="A222" s="203">
        <v>45549.0</v>
      </c>
      <c r="B222" s="204" t="s">
        <v>165</v>
      </c>
      <c r="C222" s="227">
        <v>17.0</v>
      </c>
      <c r="D222" s="223">
        <v>27.0</v>
      </c>
      <c r="E222" s="228" t="s">
        <v>157</v>
      </c>
      <c r="G222" s="222">
        <v>265.0</v>
      </c>
      <c r="H222" s="223">
        <v>308.0</v>
      </c>
      <c r="J222" s="224">
        <f>IFERROR(__xludf.DUMMYFUNCTION("""COMPUTED_VALUE"""),45549.0)</f>
        <v>45549</v>
      </c>
      <c r="K222" s="230">
        <f>IFERROR(__xludf.DUMMYFUNCTION("""COMPUTED_VALUE"""),265.0)</f>
        <v>265</v>
      </c>
      <c r="L222" s="231">
        <f>IFERROR(__xludf.DUMMYFUNCTION("""COMPUTED_VALUE"""),308.0)</f>
        <v>308</v>
      </c>
    </row>
    <row r="223">
      <c r="A223" s="203">
        <v>45549.0</v>
      </c>
      <c r="B223" s="204" t="s">
        <v>175</v>
      </c>
      <c r="C223" s="227">
        <v>13.0</v>
      </c>
      <c r="D223" s="223">
        <v>18.0</v>
      </c>
      <c r="E223" s="228" t="s">
        <v>157</v>
      </c>
      <c r="G223" s="222">
        <v>266.0</v>
      </c>
      <c r="H223" s="223">
        <v>308.0</v>
      </c>
      <c r="J223" s="224">
        <f>IFERROR(__xludf.DUMMYFUNCTION("""COMPUTED_VALUE"""),45549.0)</f>
        <v>45549</v>
      </c>
      <c r="K223" s="230">
        <f>IFERROR(__xludf.DUMMYFUNCTION("""COMPUTED_VALUE"""),266.0)</f>
        <v>266</v>
      </c>
      <c r="L223" s="231">
        <f>IFERROR(__xludf.DUMMYFUNCTION("""COMPUTED_VALUE"""),308.0)</f>
        <v>308</v>
      </c>
    </row>
    <row r="224">
      <c r="A224" s="203">
        <v>45549.0</v>
      </c>
      <c r="B224" s="204" t="s">
        <v>64</v>
      </c>
      <c r="C224" s="227">
        <v>14.0</v>
      </c>
      <c r="D224" s="223">
        <v>13.0</v>
      </c>
      <c r="E224" s="228" t="s">
        <v>158</v>
      </c>
      <c r="G224" s="222">
        <v>266.0</v>
      </c>
      <c r="H224" s="223">
        <v>309.0</v>
      </c>
      <c r="J224" s="224">
        <f>IFERROR(__xludf.DUMMYFUNCTION("""COMPUTED_VALUE"""),45549.0)</f>
        <v>45549</v>
      </c>
      <c r="K224" s="230">
        <f>IFERROR(__xludf.DUMMYFUNCTION("""COMPUTED_VALUE"""),266.0)</f>
        <v>266</v>
      </c>
      <c r="L224" s="231">
        <f>IFERROR(__xludf.DUMMYFUNCTION("""COMPUTED_VALUE"""),309.0)</f>
        <v>309</v>
      </c>
    </row>
    <row r="225">
      <c r="A225" s="203">
        <v>45550.0</v>
      </c>
      <c r="B225" s="204" t="s">
        <v>38</v>
      </c>
      <c r="C225" s="227">
        <v>7.0</v>
      </c>
      <c r="D225" s="223">
        <v>11.0</v>
      </c>
      <c r="E225" s="228" t="s">
        <v>158</v>
      </c>
      <c r="G225" s="222">
        <v>266.0</v>
      </c>
      <c r="H225" s="223">
        <v>310.0</v>
      </c>
      <c r="J225" s="224">
        <f>IFERROR(__xludf.DUMMYFUNCTION("""COMPUTED_VALUE"""),45550.0)</f>
        <v>45550</v>
      </c>
      <c r="K225" s="230">
        <f>IFERROR(__xludf.DUMMYFUNCTION("""COMPUTED_VALUE"""),266.0)</f>
        <v>266</v>
      </c>
      <c r="L225" s="231">
        <f>IFERROR(__xludf.DUMMYFUNCTION("""COMPUTED_VALUE"""),310.0)</f>
        <v>310</v>
      </c>
    </row>
    <row r="226">
      <c r="A226" s="203">
        <v>45569.0</v>
      </c>
      <c r="B226" s="204" t="s">
        <v>177</v>
      </c>
      <c r="C226" s="227">
        <v>7.0</v>
      </c>
      <c r="D226" s="223">
        <v>18.0</v>
      </c>
      <c r="E226" s="228" t="s">
        <v>158</v>
      </c>
      <c r="G226" s="222">
        <v>266.0</v>
      </c>
      <c r="H226" s="223">
        <v>311.0</v>
      </c>
      <c r="J226" s="224">
        <f>IFERROR(__xludf.DUMMYFUNCTION("""COMPUTED_VALUE"""),45569.0)</f>
        <v>45569</v>
      </c>
      <c r="K226" s="230">
        <f>IFERROR(__xludf.DUMMYFUNCTION("""COMPUTED_VALUE"""),266.0)</f>
        <v>266</v>
      </c>
      <c r="L226" s="231">
        <f>IFERROR(__xludf.DUMMYFUNCTION("""COMPUTED_VALUE"""),311.0)</f>
        <v>311</v>
      </c>
    </row>
    <row r="227">
      <c r="A227" s="203">
        <v>45569.0</v>
      </c>
      <c r="B227" s="204" t="s">
        <v>165</v>
      </c>
      <c r="C227" s="227">
        <v>17.0</v>
      </c>
      <c r="D227" s="206"/>
      <c r="E227" s="228" t="s">
        <v>158</v>
      </c>
      <c r="G227" s="222">
        <v>266.0</v>
      </c>
      <c r="H227" s="223">
        <v>284.0</v>
      </c>
      <c r="J227" s="224">
        <f>IFERROR(__xludf.DUMMYFUNCTION("""COMPUTED_VALUE"""),45569.0)</f>
        <v>45569</v>
      </c>
      <c r="K227" s="230">
        <f>IFERROR(__xludf.DUMMYFUNCTION("""COMPUTED_VALUE"""),266.0)</f>
        <v>266</v>
      </c>
      <c r="L227" s="231">
        <f>IFERROR(__xludf.DUMMYFUNCTION("""COMPUTED_VALUE"""),284.0)</f>
        <v>284</v>
      </c>
    </row>
    <row r="228">
      <c r="A228" s="203">
        <v>45569.0</v>
      </c>
      <c r="B228" s="204" t="s">
        <v>165</v>
      </c>
      <c r="C228" s="227">
        <v>17.0</v>
      </c>
      <c r="D228" s="223">
        <v>28.0</v>
      </c>
      <c r="E228" s="228" t="s">
        <v>158</v>
      </c>
      <c r="G228" s="222">
        <v>266.0</v>
      </c>
      <c r="H228" s="223">
        <v>312.0</v>
      </c>
      <c r="J228" s="224">
        <f>IFERROR(__xludf.DUMMYFUNCTION("""COMPUTED_VALUE"""),45569.0)</f>
        <v>45569</v>
      </c>
      <c r="K228" s="230">
        <f>IFERROR(__xludf.DUMMYFUNCTION("""COMPUTED_VALUE"""),266.0)</f>
        <v>266</v>
      </c>
      <c r="L228" s="231">
        <f>IFERROR(__xludf.DUMMYFUNCTION("""COMPUTED_VALUE"""),312.0)</f>
        <v>312</v>
      </c>
    </row>
    <row r="229">
      <c r="A229" s="203">
        <v>45569.0</v>
      </c>
      <c r="B229" s="204" t="s">
        <v>2</v>
      </c>
      <c r="C229" s="227">
        <v>3.0</v>
      </c>
      <c r="D229" s="223">
        <v>10.0</v>
      </c>
      <c r="E229" s="228" t="s">
        <v>157</v>
      </c>
      <c r="G229" s="222">
        <v>267.0</v>
      </c>
      <c r="H229" s="223">
        <v>312.0</v>
      </c>
      <c r="J229" s="224">
        <f>IFERROR(__xludf.DUMMYFUNCTION("""COMPUTED_VALUE"""),45569.0)</f>
        <v>45569</v>
      </c>
      <c r="K229" s="230">
        <f>IFERROR(__xludf.DUMMYFUNCTION("""COMPUTED_VALUE"""),267.0)</f>
        <v>267</v>
      </c>
      <c r="L229" s="231">
        <f>IFERROR(__xludf.DUMMYFUNCTION("""COMPUTED_VALUE"""),312.0)</f>
        <v>312</v>
      </c>
    </row>
    <row r="230">
      <c r="A230" s="232">
        <v>45587.0</v>
      </c>
      <c r="B230" s="204" t="s">
        <v>2</v>
      </c>
      <c r="C230" s="227">
        <v>3.0</v>
      </c>
      <c r="D230" s="223">
        <v>11.0</v>
      </c>
      <c r="E230" s="228" t="s">
        <v>158</v>
      </c>
      <c r="G230" s="222">
        <v>267.0</v>
      </c>
      <c r="H230" s="223">
        <v>313.0</v>
      </c>
      <c r="J230" s="224">
        <f>IFERROR(__xludf.DUMMYFUNCTION("""COMPUTED_VALUE"""),45587.0)</f>
        <v>45587</v>
      </c>
      <c r="K230" s="230">
        <f>IFERROR(__xludf.DUMMYFUNCTION("""COMPUTED_VALUE"""),267.0)</f>
        <v>267</v>
      </c>
      <c r="L230" s="231">
        <f>IFERROR(__xludf.DUMMYFUNCTION("""COMPUTED_VALUE"""),313.0)</f>
        <v>313</v>
      </c>
    </row>
    <row r="231">
      <c r="A231" s="232">
        <v>45587.0</v>
      </c>
      <c r="B231" s="204" t="s">
        <v>172</v>
      </c>
      <c r="C231" s="227">
        <v>14.0</v>
      </c>
      <c r="D231" s="223">
        <v>18.0</v>
      </c>
      <c r="E231" s="228" t="s">
        <v>158</v>
      </c>
      <c r="G231" s="222">
        <v>267.0</v>
      </c>
      <c r="H231" s="223">
        <v>314.0</v>
      </c>
      <c r="J231" s="224">
        <f>IFERROR(__xludf.DUMMYFUNCTION("""COMPUTED_VALUE"""),45587.0)</f>
        <v>45587</v>
      </c>
      <c r="K231" s="230">
        <f>IFERROR(__xludf.DUMMYFUNCTION("""COMPUTED_VALUE"""),267.0)</f>
        <v>267</v>
      </c>
      <c r="L231" s="231">
        <f>IFERROR(__xludf.DUMMYFUNCTION("""COMPUTED_VALUE"""),314.0)</f>
        <v>314</v>
      </c>
    </row>
    <row r="232">
      <c r="A232" s="232">
        <v>45587.0</v>
      </c>
      <c r="B232" s="204" t="s">
        <v>172</v>
      </c>
      <c r="C232" s="227">
        <v>14.0</v>
      </c>
      <c r="D232" s="223">
        <v>19.0</v>
      </c>
      <c r="E232" s="228" t="s">
        <v>158</v>
      </c>
      <c r="G232" s="222">
        <v>267.0</v>
      </c>
      <c r="H232" s="223">
        <v>315.0</v>
      </c>
      <c r="J232" s="224">
        <f>IFERROR(__xludf.DUMMYFUNCTION("""COMPUTED_VALUE"""),45587.0)</f>
        <v>45587</v>
      </c>
      <c r="K232" s="230">
        <f>IFERROR(__xludf.DUMMYFUNCTION("""COMPUTED_VALUE"""),267.0)</f>
        <v>267</v>
      </c>
      <c r="L232" s="231">
        <f>IFERROR(__xludf.DUMMYFUNCTION("""COMPUTED_VALUE"""),315.0)</f>
        <v>315</v>
      </c>
    </row>
    <row r="233">
      <c r="A233" s="232">
        <v>45587.0</v>
      </c>
      <c r="B233" s="204" t="s">
        <v>175</v>
      </c>
      <c r="C233" s="227">
        <v>14.0</v>
      </c>
      <c r="D233" s="223">
        <v>18.0</v>
      </c>
      <c r="E233" s="228" t="s">
        <v>157</v>
      </c>
      <c r="G233" s="222">
        <v>268.0</v>
      </c>
      <c r="H233" s="223">
        <v>315.0</v>
      </c>
      <c r="J233" s="224">
        <f>IFERROR(__xludf.DUMMYFUNCTION("""COMPUTED_VALUE"""),45587.0)</f>
        <v>45587</v>
      </c>
      <c r="K233" s="230">
        <f>IFERROR(__xludf.DUMMYFUNCTION("""COMPUTED_VALUE"""),268.0)</f>
        <v>268</v>
      </c>
      <c r="L233" s="231">
        <f>IFERROR(__xludf.DUMMYFUNCTION("""COMPUTED_VALUE"""),315.0)</f>
        <v>315</v>
      </c>
    </row>
    <row r="234">
      <c r="A234" s="232">
        <v>45587.0</v>
      </c>
      <c r="B234" s="204" t="s">
        <v>107</v>
      </c>
      <c r="C234" s="227">
        <v>12.0</v>
      </c>
      <c r="D234" s="223">
        <v>22.0</v>
      </c>
      <c r="E234" s="228" t="s">
        <v>158</v>
      </c>
      <c r="G234" s="222">
        <v>268.0</v>
      </c>
      <c r="H234" s="223">
        <v>316.0</v>
      </c>
      <c r="J234" s="224">
        <f>IFERROR(__xludf.DUMMYFUNCTION("""COMPUTED_VALUE"""),45587.0)</f>
        <v>45587</v>
      </c>
      <c r="K234" s="230">
        <f>IFERROR(__xludf.DUMMYFUNCTION("""COMPUTED_VALUE"""),268.0)</f>
        <v>268</v>
      </c>
      <c r="L234" s="231">
        <f>IFERROR(__xludf.DUMMYFUNCTION("""COMPUTED_VALUE"""),316.0)</f>
        <v>316</v>
      </c>
    </row>
    <row r="235">
      <c r="A235" s="232">
        <v>45587.0</v>
      </c>
      <c r="B235" s="204" t="s">
        <v>115</v>
      </c>
      <c r="C235" s="227">
        <v>8.0</v>
      </c>
      <c r="D235" s="223">
        <v>14.0</v>
      </c>
      <c r="E235" s="228" t="s">
        <v>157</v>
      </c>
      <c r="G235" s="222">
        <v>269.0</v>
      </c>
      <c r="H235" s="223">
        <v>316.0</v>
      </c>
      <c r="J235" s="224">
        <f>IFERROR(__xludf.DUMMYFUNCTION("""COMPUTED_VALUE"""),45587.0)</f>
        <v>45587</v>
      </c>
      <c r="K235" s="230">
        <f>IFERROR(__xludf.DUMMYFUNCTION("""COMPUTED_VALUE"""),269.0)</f>
        <v>269</v>
      </c>
      <c r="L235" s="231">
        <f>IFERROR(__xludf.DUMMYFUNCTION("""COMPUTED_VALUE"""),316.0)</f>
        <v>316</v>
      </c>
    </row>
    <row r="236">
      <c r="A236" s="232">
        <v>45587.0</v>
      </c>
      <c r="B236" s="204" t="s">
        <v>113</v>
      </c>
      <c r="C236" s="227">
        <v>13.0</v>
      </c>
      <c r="D236" s="223">
        <v>9.0</v>
      </c>
      <c r="E236" s="228" t="s">
        <v>157</v>
      </c>
      <c r="G236" s="222">
        <v>270.0</v>
      </c>
      <c r="H236" s="223">
        <v>316.0</v>
      </c>
      <c r="J236" s="224">
        <f>IFERROR(__xludf.DUMMYFUNCTION("""COMPUTED_VALUE"""),45587.0)</f>
        <v>45587</v>
      </c>
      <c r="K236" s="230">
        <f>IFERROR(__xludf.DUMMYFUNCTION("""COMPUTED_VALUE"""),270.0)</f>
        <v>270</v>
      </c>
      <c r="L236" s="231">
        <f>IFERROR(__xludf.DUMMYFUNCTION("""COMPUTED_VALUE"""),316.0)</f>
        <v>316</v>
      </c>
    </row>
    <row r="237">
      <c r="A237" s="232">
        <v>45588.0</v>
      </c>
      <c r="B237" s="204" t="s">
        <v>176</v>
      </c>
      <c r="C237" s="227">
        <v>13.0</v>
      </c>
      <c r="D237" s="223">
        <v>12.0</v>
      </c>
      <c r="E237" s="228" t="s">
        <v>158</v>
      </c>
      <c r="G237" s="222">
        <v>270.0</v>
      </c>
      <c r="H237" s="223">
        <v>317.0</v>
      </c>
      <c r="J237" s="224">
        <f>IFERROR(__xludf.DUMMYFUNCTION("""COMPUTED_VALUE"""),45588.0)</f>
        <v>45588</v>
      </c>
      <c r="K237" s="230">
        <f>IFERROR(__xludf.DUMMYFUNCTION("""COMPUTED_VALUE"""),270.0)</f>
        <v>270</v>
      </c>
      <c r="L237" s="231">
        <f>IFERROR(__xludf.DUMMYFUNCTION("""COMPUTED_VALUE"""),317.0)</f>
        <v>317</v>
      </c>
    </row>
    <row r="238">
      <c r="A238" s="232">
        <v>45588.0</v>
      </c>
      <c r="B238" s="204" t="s">
        <v>3</v>
      </c>
      <c r="C238" s="227">
        <v>11.0</v>
      </c>
      <c r="D238" s="223">
        <v>18.0</v>
      </c>
      <c r="E238" s="228" t="s">
        <v>158</v>
      </c>
      <c r="G238" s="222">
        <v>270.0</v>
      </c>
      <c r="H238" s="223">
        <v>318.0</v>
      </c>
      <c r="J238" s="224">
        <f>IFERROR(__xludf.DUMMYFUNCTION("""COMPUTED_VALUE"""),45588.0)</f>
        <v>45588</v>
      </c>
      <c r="K238" s="230">
        <f>IFERROR(__xludf.DUMMYFUNCTION("""COMPUTED_VALUE"""),270.0)</f>
        <v>270</v>
      </c>
      <c r="L238" s="231">
        <f>IFERROR(__xludf.DUMMYFUNCTION("""COMPUTED_VALUE"""),318.0)</f>
        <v>318</v>
      </c>
    </row>
    <row r="239">
      <c r="A239" s="232">
        <v>45640.0</v>
      </c>
      <c r="B239" s="204" t="s">
        <v>3</v>
      </c>
      <c r="C239" s="227">
        <v>12.0</v>
      </c>
      <c r="D239" s="223">
        <v>18.0</v>
      </c>
      <c r="E239" s="228" t="s">
        <v>157</v>
      </c>
      <c r="G239" s="222">
        <v>271.0</v>
      </c>
      <c r="H239" s="223">
        <v>318.0</v>
      </c>
      <c r="J239" s="224">
        <f>IFERROR(__xludf.DUMMYFUNCTION("""COMPUTED_VALUE"""),45640.0)</f>
        <v>45640</v>
      </c>
      <c r="K239" s="230">
        <f>IFERROR(__xludf.DUMMYFUNCTION("""COMPUTED_VALUE"""),271.0)</f>
        <v>271</v>
      </c>
      <c r="L239" s="231">
        <f>IFERROR(__xludf.DUMMYFUNCTION("""COMPUTED_VALUE"""),318.0)</f>
        <v>318</v>
      </c>
    </row>
    <row r="240">
      <c r="A240" s="232">
        <v>45640.0</v>
      </c>
      <c r="B240" s="204" t="s">
        <v>64</v>
      </c>
      <c r="C240" s="227">
        <v>15.0</v>
      </c>
      <c r="D240" s="223">
        <v>13.0</v>
      </c>
      <c r="E240" s="228" t="s">
        <v>157</v>
      </c>
      <c r="G240" s="222">
        <v>272.0</v>
      </c>
      <c r="H240" s="223">
        <v>318.0</v>
      </c>
      <c r="J240" s="224">
        <f>IFERROR(__xludf.DUMMYFUNCTION("""COMPUTED_VALUE"""),45640.0)</f>
        <v>45640</v>
      </c>
      <c r="K240" s="230">
        <f>IFERROR(__xludf.DUMMYFUNCTION("""COMPUTED_VALUE"""),272.0)</f>
        <v>272</v>
      </c>
      <c r="L240" s="231">
        <f>IFERROR(__xludf.DUMMYFUNCTION("""COMPUTED_VALUE"""),318.0)</f>
        <v>318</v>
      </c>
    </row>
    <row r="241">
      <c r="A241" s="232">
        <v>45640.0</v>
      </c>
      <c r="B241" s="204" t="s">
        <v>67</v>
      </c>
      <c r="C241" s="227">
        <v>15.0</v>
      </c>
      <c r="D241" s="223">
        <v>26.0</v>
      </c>
      <c r="E241" s="228" t="s">
        <v>158</v>
      </c>
      <c r="G241" s="222">
        <v>272.0</v>
      </c>
      <c r="H241" s="223">
        <v>319.0</v>
      </c>
      <c r="J241" s="224">
        <f>IFERROR(__xludf.DUMMYFUNCTION("""COMPUTED_VALUE"""),45640.0)</f>
        <v>45640</v>
      </c>
      <c r="K241" s="230">
        <f>IFERROR(__xludf.DUMMYFUNCTION("""COMPUTED_VALUE"""),272.0)</f>
        <v>272</v>
      </c>
      <c r="L241" s="231">
        <f>IFERROR(__xludf.DUMMYFUNCTION("""COMPUTED_VALUE"""),319.0)</f>
        <v>319</v>
      </c>
    </row>
    <row r="242">
      <c r="A242" s="232">
        <v>45640.0</v>
      </c>
      <c r="B242" s="204" t="s">
        <v>84</v>
      </c>
      <c r="C242" s="227">
        <v>14.0</v>
      </c>
      <c r="D242" s="223">
        <v>10.0</v>
      </c>
      <c r="E242" s="228" t="s">
        <v>157</v>
      </c>
      <c r="G242" s="222">
        <v>273.0</v>
      </c>
      <c r="H242" s="223">
        <v>319.0</v>
      </c>
      <c r="J242" s="224">
        <f>IFERROR(__xludf.DUMMYFUNCTION("""COMPUTED_VALUE"""),45640.0)</f>
        <v>45640</v>
      </c>
      <c r="K242" s="230">
        <f>IFERROR(__xludf.DUMMYFUNCTION("""COMPUTED_VALUE"""),273.0)</f>
        <v>273</v>
      </c>
      <c r="L242" s="231">
        <f>IFERROR(__xludf.DUMMYFUNCTION("""COMPUTED_VALUE"""),319.0)</f>
        <v>319</v>
      </c>
    </row>
    <row r="243">
      <c r="A243" s="232">
        <v>45640.0</v>
      </c>
      <c r="B243" s="204" t="s">
        <v>106</v>
      </c>
      <c r="C243" s="227">
        <v>9.0</v>
      </c>
      <c r="D243" s="223">
        <v>6.0</v>
      </c>
      <c r="E243" s="228" t="s">
        <v>157</v>
      </c>
      <c r="G243" s="222">
        <v>274.0</v>
      </c>
      <c r="H243" s="223">
        <v>319.0</v>
      </c>
      <c r="J243" s="224">
        <f>IFERROR(__xludf.DUMMYFUNCTION("""COMPUTED_VALUE"""),45640.0)</f>
        <v>45640</v>
      </c>
      <c r="K243" s="230">
        <f>IFERROR(__xludf.DUMMYFUNCTION("""COMPUTED_VALUE"""),274.0)</f>
        <v>274</v>
      </c>
      <c r="L243" s="231">
        <f>IFERROR(__xludf.DUMMYFUNCTION("""COMPUTED_VALUE"""),319.0)</f>
        <v>319</v>
      </c>
    </row>
    <row r="244">
      <c r="A244" s="232">
        <v>45640.0</v>
      </c>
      <c r="B244" s="204" t="s">
        <v>180</v>
      </c>
      <c r="C244" s="227">
        <v>12.0</v>
      </c>
      <c r="D244" s="223">
        <v>9.0</v>
      </c>
      <c r="E244" s="228" t="s">
        <v>157</v>
      </c>
      <c r="G244" s="222">
        <v>275.0</v>
      </c>
      <c r="H244" s="223">
        <v>319.0</v>
      </c>
      <c r="J244" s="224">
        <f>IFERROR(__xludf.DUMMYFUNCTION("""COMPUTED_VALUE"""),45640.0)</f>
        <v>45640</v>
      </c>
      <c r="K244" s="230">
        <f>IFERROR(__xludf.DUMMYFUNCTION("""COMPUTED_VALUE"""),275.0)</f>
        <v>275</v>
      </c>
      <c r="L244" s="231">
        <f>IFERROR(__xludf.DUMMYFUNCTION("""COMPUTED_VALUE"""),319.0)</f>
        <v>319</v>
      </c>
    </row>
    <row r="245">
      <c r="A245" s="232">
        <v>45640.0</v>
      </c>
      <c r="B245" s="204" t="s">
        <v>178</v>
      </c>
      <c r="C245" s="227">
        <v>11.0</v>
      </c>
      <c r="D245" s="223">
        <v>15.0</v>
      </c>
      <c r="E245" s="228" t="s">
        <v>158</v>
      </c>
      <c r="G245" s="222">
        <v>275.0</v>
      </c>
      <c r="H245" s="223">
        <v>320.0</v>
      </c>
      <c r="J245" s="224">
        <f>IFERROR(__xludf.DUMMYFUNCTION("""COMPUTED_VALUE"""),45640.0)</f>
        <v>45640</v>
      </c>
      <c r="K245" s="230">
        <f>IFERROR(__xludf.DUMMYFUNCTION("""COMPUTED_VALUE"""),275.0)</f>
        <v>275</v>
      </c>
      <c r="L245" s="231">
        <f>IFERROR(__xludf.DUMMYFUNCTION("""COMPUTED_VALUE"""),320.0)</f>
        <v>320</v>
      </c>
    </row>
    <row r="246">
      <c r="A246" s="232">
        <v>45640.0</v>
      </c>
      <c r="B246" s="204" t="s">
        <v>165</v>
      </c>
      <c r="C246" s="227">
        <v>17.0</v>
      </c>
      <c r="D246" s="223">
        <v>29.0</v>
      </c>
      <c r="E246" s="228" t="s">
        <v>158</v>
      </c>
      <c r="G246" s="222">
        <v>275.0</v>
      </c>
      <c r="H246" s="223">
        <v>321.0</v>
      </c>
      <c r="J246" s="224">
        <f>IFERROR(__xludf.DUMMYFUNCTION("""COMPUTED_VALUE"""),45640.0)</f>
        <v>45640</v>
      </c>
      <c r="K246" s="230">
        <f>IFERROR(__xludf.DUMMYFUNCTION("""COMPUTED_VALUE"""),275.0)</f>
        <v>275</v>
      </c>
      <c r="L246" s="231">
        <f>IFERROR(__xludf.DUMMYFUNCTION("""COMPUTED_VALUE"""),321.0)</f>
        <v>321</v>
      </c>
    </row>
    <row r="247">
      <c r="A247" s="232">
        <v>45641.0</v>
      </c>
      <c r="B247" s="204" t="s">
        <v>176</v>
      </c>
      <c r="C247" s="227">
        <v>14.0</v>
      </c>
      <c r="D247" s="223">
        <v>12.0</v>
      </c>
      <c r="E247" s="228" t="s">
        <v>157</v>
      </c>
      <c r="G247" s="222">
        <v>276.0</v>
      </c>
      <c r="H247" s="223">
        <v>321.0</v>
      </c>
      <c r="J247" s="224">
        <f>IFERROR(__xludf.DUMMYFUNCTION("""COMPUTED_VALUE"""),45641.0)</f>
        <v>45641</v>
      </c>
      <c r="K247" s="230">
        <f>IFERROR(__xludf.DUMMYFUNCTION("""COMPUTED_VALUE"""),276.0)</f>
        <v>276</v>
      </c>
      <c r="L247" s="231">
        <f>IFERROR(__xludf.DUMMYFUNCTION("""COMPUTED_VALUE"""),321.0)</f>
        <v>321</v>
      </c>
    </row>
    <row r="248">
      <c r="A248" s="232">
        <v>45647.0</v>
      </c>
      <c r="B248" s="204" t="s">
        <v>2</v>
      </c>
      <c r="C248" s="227">
        <v>4.0</v>
      </c>
      <c r="D248" s="223">
        <v>11.0</v>
      </c>
      <c r="E248" s="228" t="s">
        <v>157</v>
      </c>
      <c r="G248" s="222">
        <v>277.0</v>
      </c>
      <c r="H248" s="223">
        <v>321.0</v>
      </c>
      <c r="J248" s="224">
        <f>IFERROR(__xludf.DUMMYFUNCTION("""COMPUTED_VALUE"""),45647.0)</f>
        <v>45647</v>
      </c>
      <c r="K248" s="230">
        <f>IFERROR(__xludf.DUMMYFUNCTION("""COMPUTED_VALUE"""),277.0)</f>
        <v>277</v>
      </c>
      <c r="L248" s="231">
        <f>IFERROR(__xludf.DUMMYFUNCTION("""COMPUTED_VALUE"""),321.0)</f>
        <v>321</v>
      </c>
    </row>
    <row r="249">
      <c r="A249" s="232">
        <v>45647.0</v>
      </c>
      <c r="B249" s="204" t="s">
        <v>1</v>
      </c>
      <c r="C249" s="227">
        <v>16.0</v>
      </c>
      <c r="D249" s="223">
        <v>21.0</v>
      </c>
      <c r="E249" s="228" t="s">
        <v>157</v>
      </c>
      <c r="G249" s="222">
        <v>278.0</v>
      </c>
      <c r="H249" s="223">
        <v>321.0</v>
      </c>
      <c r="J249" s="224">
        <f>IFERROR(__xludf.DUMMYFUNCTION("""COMPUTED_VALUE"""),45647.0)</f>
        <v>45647</v>
      </c>
      <c r="K249" s="230">
        <f>IFERROR(__xludf.DUMMYFUNCTION("""COMPUTED_VALUE"""),278.0)</f>
        <v>278</v>
      </c>
      <c r="L249" s="231">
        <f>IFERROR(__xludf.DUMMYFUNCTION("""COMPUTED_VALUE"""),321.0)</f>
        <v>321</v>
      </c>
    </row>
    <row r="250">
      <c r="A250" s="232">
        <v>45647.0</v>
      </c>
      <c r="B250" s="204" t="s">
        <v>67</v>
      </c>
      <c r="C250" s="227">
        <v>15.0</v>
      </c>
      <c r="D250" s="223">
        <v>27.0</v>
      </c>
      <c r="E250" s="228" t="s">
        <v>158</v>
      </c>
      <c r="G250" s="222">
        <v>278.0</v>
      </c>
      <c r="H250" s="223">
        <v>322.0</v>
      </c>
      <c r="J250" s="224">
        <f>IFERROR(__xludf.DUMMYFUNCTION("""COMPUTED_VALUE"""),45647.0)</f>
        <v>45647</v>
      </c>
      <c r="K250" s="230">
        <f>IFERROR(__xludf.DUMMYFUNCTION("""COMPUTED_VALUE"""),278.0)</f>
        <v>278</v>
      </c>
      <c r="L250" s="231">
        <f>IFERROR(__xludf.DUMMYFUNCTION("""COMPUTED_VALUE"""),322.0)</f>
        <v>322</v>
      </c>
    </row>
    <row r="251">
      <c r="A251" s="232">
        <v>45647.0</v>
      </c>
      <c r="B251" s="204" t="s">
        <v>181</v>
      </c>
      <c r="C251" s="227">
        <v>12.0</v>
      </c>
      <c r="D251" s="223">
        <v>8.0</v>
      </c>
      <c r="E251" s="228" t="s">
        <v>158</v>
      </c>
      <c r="G251" s="222">
        <v>278.0</v>
      </c>
      <c r="H251" s="223">
        <v>323.0</v>
      </c>
      <c r="J251" s="224">
        <f>IFERROR(__xludf.DUMMYFUNCTION("""COMPUTED_VALUE"""),45647.0)</f>
        <v>45647</v>
      </c>
      <c r="K251" s="230">
        <f>IFERROR(__xludf.DUMMYFUNCTION("""COMPUTED_VALUE"""),278.0)</f>
        <v>278</v>
      </c>
      <c r="L251" s="231">
        <f>IFERROR(__xludf.DUMMYFUNCTION("""COMPUTED_VALUE"""),323.0)</f>
        <v>323</v>
      </c>
    </row>
    <row r="252">
      <c r="A252" s="232">
        <v>45647.0</v>
      </c>
      <c r="B252" s="204" t="s">
        <v>186</v>
      </c>
      <c r="C252" s="227">
        <v>15.0</v>
      </c>
      <c r="D252" s="223">
        <v>6.0</v>
      </c>
      <c r="E252" s="228" t="s">
        <v>157</v>
      </c>
      <c r="G252" s="222">
        <v>279.0</v>
      </c>
      <c r="H252" s="223">
        <v>323.0</v>
      </c>
      <c r="J252" s="224">
        <f>IFERROR(__xludf.DUMMYFUNCTION("""COMPUTED_VALUE"""),45647.0)</f>
        <v>45647</v>
      </c>
      <c r="K252" s="230">
        <f>IFERROR(__xludf.DUMMYFUNCTION("""COMPUTED_VALUE"""),279.0)</f>
        <v>279</v>
      </c>
      <c r="L252" s="231">
        <f>IFERROR(__xludf.DUMMYFUNCTION("""COMPUTED_VALUE"""),323.0)</f>
        <v>323</v>
      </c>
    </row>
    <row r="253">
      <c r="A253" s="232">
        <v>45648.0</v>
      </c>
      <c r="B253" s="204" t="s">
        <v>85</v>
      </c>
      <c r="C253" s="227">
        <v>5.0</v>
      </c>
      <c r="D253" s="223">
        <v>8.0</v>
      </c>
      <c r="E253" s="228" t="s">
        <v>157</v>
      </c>
      <c r="G253" s="222">
        <v>280.0</v>
      </c>
      <c r="H253" s="223">
        <v>323.0</v>
      </c>
      <c r="J253" s="224">
        <f>IFERROR(__xludf.DUMMYFUNCTION("""COMPUTED_VALUE"""),45648.0)</f>
        <v>45648</v>
      </c>
      <c r="K253" s="230">
        <f>IFERROR(__xludf.DUMMYFUNCTION("""COMPUTED_VALUE"""),280.0)</f>
        <v>280</v>
      </c>
      <c r="L253" s="231">
        <f>IFERROR(__xludf.DUMMYFUNCTION("""COMPUTED_VALUE"""),323.0)</f>
        <v>323</v>
      </c>
    </row>
    <row r="254">
      <c r="A254" s="232">
        <v>45648.0</v>
      </c>
      <c r="B254" s="204" t="s">
        <v>175</v>
      </c>
      <c r="C254" s="227">
        <v>14.0</v>
      </c>
      <c r="D254" s="223">
        <v>19.0</v>
      </c>
      <c r="E254" s="228" t="s">
        <v>158</v>
      </c>
      <c r="G254" s="222">
        <v>280.0</v>
      </c>
      <c r="H254" s="223">
        <v>324.0</v>
      </c>
      <c r="J254" s="224">
        <f>IFERROR(__xludf.DUMMYFUNCTION("""COMPUTED_VALUE"""),45648.0)</f>
        <v>45648</v>
      </c>
      <c r="K254" s="230">
        <f>IFERROR(__xludf.DUMMYFUNCTION("""COMPUTED_VALUE"""),280.0)</f>
        <v>280</v>
      </c>
      <c r="L254" s="231">
        <f>IFERROR(__xludf.DUMMYFUNCTION("""COMPUTED_VALUE"""),324.0)</f>
        <v>324</v>
      </c>
    </row>
    <row r="255">
      <c r="A255" s="232">
        <v>45654.0</v>
      </c>
      <c r="B255" s="204" t="s">
        <v>180</v>
      </c>
      <c r="C255" s="227">
        <v>12.0</v>
      </c>
      <c r="D255" s="223">
        <v>10.0</v>
      </c>
      <c r="E255" s="228" t="s">
        <v>158</v>
      </c>
      <c r="G255" s="222">
        <v>280.0</v>
      </c>
      <c r="H255" s="223">
        <v>325.0</v>
      </c>
      <c r="J255" s="224">
        <f>IFERROR(__xludf.DUMMYFUNCTION("""COMPUTED_VALUE"""),45654.0)</f>
        <v>45654</v>
      </c>
      <c r="K255" s="230">
        <f>IFERROR(__xludf.DUMMYFUNCTION("""COMPUTED_VALUE"""),280.0)</f>
        <v>280</v>
      </c>
      <c r="L255" s="231">
        <f>IFERROR(__xludf.DUMMYFUNCTION("""COMPUTED_VALUE"""),325.0)</f>
        <v>325</v>
      </c>
    </row>
    <row r="256">
      <c r="A256" s="232">
        <v>45654.0</v>
      </c>
      <c r="B256" s="204" t="s">
        <v>39</v>
      </c>
      <c r="C256" s="227">
        <v>8.0</v>
      </c>
      <c r="D256" s="223">
        <v>6.0</v>
      </c>
      <c r="E256" s="228" t="s">
        <v>158</v>
      </c>
      <c r="G256" s="222">
        <v>280.0</v>
      </c>
      <c r="H256" s="223">
        <v>326.0</v>
      </c>
      <c r="J256" s="224">
        <f>IFERROR(__xludf.DUMMYFUNCTION("""COMPUTED_VALUE"""),45654.0)</f>
        <v>45654</v>
      </c>
      <c r="K256" s="230">
        <f>IFERROR(__xludf.DUMMYFUNCTION("""COMPUTED_VALUE"""),280.0)</f>
        <v>280</v>
      </c>
      <c r="L256" s="231">
        <f>IFERROR(__xludf.DUMMYFUNCTION("""COMPUTED_VALUE"""),326.0)</f>
        <v>326</v>
      </c>
    </row>
    <row r="257">
      <c r="A257" s="232">
        <v>45654.0</v>
      </c>
      <c r="B257" s="204" t="s">
        <v>38</v>
      </c>
      <c r="C257" s="227">
        <v>8.0</v>
      </c>
      <c r="D257" s="223">
        <v>11.0</v>
      </c>
      <c r="E257" s="228" t="s">
        <v>157</v>
      </c>
      <c r="G257" s="222">
        <v>281.0</v>
      </c>
      <c r="H257" s="223">
        <v>326.0</v>
      </c>
      <c r="J257" s="224">
        <f>IFERROR(__xludf.DUMMYFUNCTION("""COMPUTED_VALUE"""),45654.0)</f>
        <v>45654</v>
      </c>
      <c r="K257" s="230">
        <f>IFERROR(__xludf.DUMMYFUNCTION("""COMPUTED_VALUE"""),281.0)</f>
        <v>281</v>
      </c>
      <c r="L257" s="231">
        <f>IFERROR(__xludf.DUMMYFUNCTION("""COMPUTED_VALUE"""),326.0)</f>
        <v>326</v>
      </c>
    </row>
    <row r="258">
      <c r="A258" s="232">
        <v>45654.0</v>
      </c>
      <c r="B258" s="204" t="s">
        <v>115</v>
      </c>
      <c r="C258" s="227">
        <v>8.0</v>
      </c>
      <c r="D258" s="223">
        <v>15.0</v>
      </c>
      <c r="E258" s="228" t="s">
        <v>158</v>
      </c>
      <c r="G258" s="222">
        <v>281.0</v>
      </c>
      <c r="H258" s="223">
        <v>327.0</v>
      </c>
      <c r="J258" s="224">
        <f>IFERROR(__xludf.DUMMYFUNCTION("""COMPUTED_VALUE"""),45654.0)</f>
        <v>45654</v>
      </c>
      <c r="K258" s="230">
        <f>IFERROR(__xludf.DUMMYFUNCTION("""COMPUTED_VALUE"""),281.0)</f>
        <v>281</v>
      </c>
      <c r="L258" s="231">
        <f>IFERROR(__xludf.DUMMYFUNCTION("""COMPUTED_VALUE"""),327.0)</f>
        <v>327</v>
      </c>
    </row>
    <row r="259">
      <c r="A259" s="203">
        <v>45662.0</v>
      </c>
      <c r="B259" s="204" t="s">
        <v>175</v>
      </c>
      <c r="C259" s="227">
        <v>14.0</v>
      </c>
      <c r="D259" s="223">
        <v>20.0</v>
      </c>
      <c r="E259" s="228" t="s">
        <v>158</v>
      </c>
      <c r="G259" s="222">
        <v>281.0</v>
      </c>
      <c r="H259" s="223">
        <v>328.0</v>
      </c>
      <c r="J259" s="224">
        <f>IFERROR(__xludf.DUMMYFUNCTION("""COMPUTED_VALUE"""),45662.0)</f>
        <v>45662</v>
      </c>
      <c r="K259" s="230">
        <f>IFERROR(__xludf.DUMMYFUNCTION("""COMPUTED_VALUE"""),281.0)</f>
        <v>281</v>
      </c>
      <c r="L259" s="231">
        <f>IFERROR(__xludf.DUMMYFUNCTION("""COMPUTED_VALUE"""),328.0)</f>
        <v>328</v>
      </c>
    </row>
    <row r="260">
      <c r="A260" s="203">
        <v>45662.0</v>
      </c>
      <c r="B260" s="204" t="s">
        <v>177</v>
      </c>
      <c r="C260" s="227">
        <v>7.0</v>
      </c>
      <c r="D260" s="223">
        <v>19.0</v>
      </c>
      <c r="E260" s="228" t="s">
        <v>158</v>
      </c>
      <c r="G260" s="222">
        <v>281.0</v>
      </c>
      <c r="H260" s="223">
        <v>329.0</v>
      </c>
      <c r="J260" s="224">
        <f>IFERROR(__xludf.DUMMYFUNCTION("""COMPUTED_VALUE"""),45662.0)</f>
        <v>45662</v>
      </c>
      <c r="K260" s="230">
        <f>IFERROR(__xludf.DUMMYFUNCTION("""COMPUTED_VALUE"""),281.0)</f>
        <v>281</v>
      </c>
      <c r="L260" s="231">
        <f>IFERROR(__xludf.DUMMYFUNCTION("""COMPUTED_VALUE"""),329.0)</f>
        <v>329</v>
      </c>
    </row>
    <row r="261">
      <c r="A261" s="203">
        <v>45662.0</v>
      </c>
      <c r="B261" s="204" t="s">
        <v>172</v>
      </c>
      <c r="C261" s="227">
        <v>15.0</v>
      </c>
      <c r="D261" s="223">
        <v>19.0</v>
      </c>
      <c r="E261" s="228" t="s">
        <v>157</v>
      </c>
      <c r="G261" s="222">
        <v>282.0</v>
      </c>
      <c r="H261" s="223">
        <v>329.0</v>
      </c>
      <c r="J261" s="224">
        <f>IFERROR(__xludf.DUMMYFUNCTION("""COMPUTED_VALUE"""),45662.0)</f>
        <v>45662</v>
      </c>
      <c r="K261" s="230">
        <f>IFERROR(__xludf.DUMMYFUNCTION("""COMPUTED_VALUE"""),282.0)</f>
        <v>282</v>
      </c>
      <c r="L261" s="231">
        <f>IFERROR(__xludf.DUMMYFUNCTION("""COMPUTED_VALUE"""),329.0)</f>
        <v>329</v>
      </c>
    </row>
    <row r="262">
      <c r="A262" s="203">
        <v>45662.0</v>
      </c>
      <c r="B262" s="204" t="s">
        <v>107</v>
      </c>
      <c r="C262" s="227">
        <v>12.0</v>
      </c>
      <c r="D262" s="223">
        <v>23.0</v>
      </c>
      <c r="E262" s="228" t="s">
        <v>158</v>
      </c>
      <c r="G262" s="222">
        <v>282.0</v>
      </c>
      <c r="H262" s="223">
        <v>330.0</v>
      </c>
      <c r="J262" s="224">
        <f>IFERROR(__xludf.DUMMYFUNCTION("""COMPUTED_VALUE"""),45662.0)</f>
        <v>45662</v>
      </c>
      <c r="K262" s="230">
        <f>IFERROR(__xludf.DUMMYFUNCTION("""COMPUTED_VALUE"""),282.0)</f>
        <v>282</v>
      </c>
      <c r="L262" s="231">
        <f>IFERROR(__xludf.DUMMYFUNCTION("""COMPUTED_VALUE"""),330.0)</f>
        <v>330</v>
      </c>
    </row>
    <row r="263">
      <c r="A263" s="203">
        <v>45662.0</v>
      </c>
      <c r="B263" s="204" t="s">
        <v>3</v>
      </c>
      <c r="C263" s="227">
        <v>12.0</v>
      </c>
      <c r="D263" s="223">
        <v>19.0</v>
      </c>
      <c r="E263" s="228" t="s">
        <v>158</v>
      </c>
      <c r="G263" s="222">
        <v>282.0</v>
      </c>
      <c r="H263" s="223">
        <v>331.0</v>
      </c>
      <c r="J263" s="224">
        <f>IFERROR(__xludf.DUMMYFUNCTION("""COMPUTED_VALUE"""),45662.0)</f>
        <v>45662</v>
      </c>
      <c r="K263" s="230">
        <f>IFERROR(__xludf.DUMMYFUNCTION("""COMPUTED_VALUE"""),282.0)</f>
        <v>282</v>
      </c>
      <c r="L263" s="231">
        <f>IFERROR(__xludf.DUMMYFUNCTION("""COMPUTED_VALUE"""),331.0)</f>
        <v>331</v>
      </c>
    </row>
    <row r="264">
      <c r="A264" s="203">
        <v>45662.0</v>
      </c>
      <c r="B264" s="204" t="s">
        <v>84</v>
      </c>
      <c r="C264" s="227">
        <v>15.0</v>
      </c>
      <c r="D264" s="223">
        <v>10.0</v>
      </c>
      <c r="E264" s="228" t="s">
        <v>157</v>
      </c>
      <c r="G264" s="222">
        <v>283.0</v>
      </c>
      <c r="H264" s="223">
        <v>331.0</v>
      </c>
      <c r="J264" s="224">
        <f>IFERROR(__xludf.DUMMYFUNCTION("""COMPUTED_VALUE"""),45662.0)</f>
        <v>45662</v>
      </c>
      <c r="K264" s="230">
        <f>IFERROR(__xludf.DUMMYFUNCTION("""COMPUTED_VALUE"""),283.0)</f>
        <v>283</v>
      </c>
      <c r="L264" s="231">
        <f>IFERROR(__xludf.DUMMYFUNCTION("""COMPUTED_VALUE"""),331.0)</f>
        <v>331</v>
      </c>
    </row>
    <row r="265">
      <c r="A265" s="203">
        <v>45703.0</v>
      </c>
      <c r="B265" s="204" t="s">
        <v>64</v>
      </c>
      <c r="C265" s="227">
        <v>16.0</v>
      </c>
      <c r="D265" s="223">
        <v>13.0</v>
      </c>
      <c r="E265" s="228" t="s">
        <v>157</v>
      </c>
      <c r="G265" s="222">
        <v>284.0</v>
      </c>
      <c r="H265" s="223">
        <v>331.0</v>
      </c>
      <c r="J265" s="224">
        <f>IFERROR(__xludf.DUMMYFUNCTION("""COMPUTED_VALUE"""),45703.0)</f>
        <v>45703</v>
      </c>
      <c r="K265" s="230">
        <f>IFERROR(__xludf.DUMMYFUNCTION("""COMPUTED_VALUE"""),284.0)</f>
        <v>284</v>
      </c>
      <c r="L265" s="231">
        <f>IFERROR(__xludf.DUMMYFUNCTION("""COMPUTED_VALUE"""),331.0)</f>
        <v>331</v>
      </c>
    </row>
    <row r="266">
      <c r="A266" s="203">
        <v>45703.0</v>
      </c>
      <c r="B266" s="204" t="s">
        <v>165</v>
      </c>
      <c r="C266" s="227">
        <v>18.0</v>
      </c>
      <c r="D266" s="223">
        <v>29.0</v>
      </c>
      <c r="E266" s="228" t="s">
        <v>157</v>
      </c>
      <c r="G266" s="222">
        <v>285.0</v>
      </c>
      <c r="H266" s="223">
        <v>331.0</v>
      </c>
      <c r="J266" s="224">
        <f>IFERROR(__xludf.DUMMYFUNCTION("""COMPUTED_VALUE"""),45703.0)</f>
        <v>45703</v>
      </c>
      <c r="K266" s="230">
        <f>IFERROR(__xludf.DUMMYFUNCTION("""COMPUTED_VALUE"""),285.0)</f>
        <v>285</v>
      </c>
      <c r="L266" s="231">
        <f>IFERROR(__xludf.DUMMYFUNCTION("""COMPUTED_VALUE"""),331.0)</f>
        <v>331</v>
      </c>
    </row>
    <row r="267">
      <c r="A267" s="203">
        <v>45703.0</v>
      </c>
      <c r="B267" s="204" t="s">
        <v>2</v>
      </c>
      <c r="C267" s="227">
        <v>4.0</v>
      </c>
      <c r="D267" s="223">
        <v>12.0</v>
      </c>
      <c r="E267" s="228" t="s">
        <v>158</v>
      </c>
      <c r="G267" s="222">
        <v>285.0</v>
      </c>
      <c r="H267" s="223">
        <v>332.0</v>
      </c>
      <c r="J267" s="224">
        <f>IFERROR(__xludf.DUMMYFUNCTION("""COMPUTED_VALUE"""),45703.0)</f>
        <v>45703</v>
      </c>
      <c r="K267" s="230">
        <f>IFERROR(__xludf.DUMMYFUNCTION("""COMPUTED_VALUE"""),285.0)</f>
        <v>285</v>
      </c>
      <c r="L267" s="231">
        <f>IFERROR(__xludf.DUMMYFUNCTION("""COMPUTED_VALUE"""),332.0)</f>
        <v>332</v>
      </c>
    </row>
    <row r="268">
      <c r="A268" s="203">
        <v>45703.0</v>
      </c>
      <c r="B268" s="204" t="s">
        <v>85</v>
      </c>
      <c r="C268" s="227">
        <v>6.0</v>
      </c>
      <c r="D268" s="223">
        <v>8.0</v>
      </c>
      <c r="E268" s="228" t="s">
        <v>157</v>
      </c>
      <c r="G268" s="222">
        <v>286.0</v>
      </c>
      <c r="H268" s="223">
        <v>332.0</v>
      </c>
      <c r="J268" s="224">
        <f>IFERROR(__xludf.DUMMYFUNCTION("""COMPUTED_VALUE"""),45703.0)</f>
        <v>45703</v>
      </c>
      <c r="K268" s="230">
        <f>IFERROR(__xludf.DUMMYFUNCTION("""COMPUTED_VALUE"""),286.0)</f>
        <v>286</v>
      </c>
      <c r="L268" s="231">
        <f>IFERROR(__xludf.DUMMYFUNCTION("""COMPUTED_VALUE"""),332.0)</f>
        <v>332</v>
      </c>
    </row>
    <row r="269">
      <c r="A269" s="203">
        <v>45703.0</v>
      </c>
      <c r="B269" s="204" t="s">
        <v>39</v>
      </c>
      <c r="C269" s="227">
        <v>8.0</v>
      </c>
      <c r="D269" s="223">
        <v>7.0</v>
      </c>
      <c r="E269" s="228" t="s">
        <v>158</v>
      </c>
      <c r="G269" s="222">
        <v>286.0</v>
      </c>
      <c r="H269" s="223">
        <v>333.0</v>
      </c>
      <c r="J269" s="224">
        <f>IFERROR(__xludf.DUMMYFUNCTION("""COMPUTED_VALUE"""),45703.0)</f>
        <v>45703</v>
      </c>
      <c r="K269" s="230">
        <f>IFERROR(__xludf.DUMMYFUNCTION("""COMPUTED_VALUE"""),286.0)</f>
        <v>286</v>
      </c>
      <c r="L269" s="231">
        <f>IFERROR(__xludf.DUMMYFUNCTION("""COMPUTED_VALUE"""),333.0)</f>
        <v>333</v>
      </c>
    </row>
    <row r="270">
      <c r="A270" s="203">
        <v>45718.0</v>
      </c>
      <c r="B270" s="204" t="s">
        <v>115</v>
      </c>
      <c r="C270" s="227">
        <v>8.0</v>
      </c>
      <c r="D270" s="223">
        <v>16.0</v>
      </c>
      <c r="E270" s="228" t="s">
        <v>158</v>
      </c>
      <c r="G270" s="222">
        <v>286.0</v>
      </c>
      <c r="H270" s="223">
        <v>334.0</v>
      </c>
      <c r="J270" s="224">
        <f>IFERROR(__xludf.DUMMYFUNCTION("""COMPUTED_VALUE"""),45718.0)</f>
        <v>45718</v>
      </c>
      <c r="K270" s="230">
        <f>IFERROR(__xludf.DUMMYFUNCTION("""COMPUTED_VALUE"""),286.0)</f>
        <v>286</v>
      </c>
      <c r="L270" s="231">
        <f>IFERROR(__xludf.DUMMYFUNCTION("""COMPUTED_VALUE"""),334.0)</f>
        <v>334</v>
      </c>
    </row>
    <row r="271">
      <c r="A271" s="203">
        <v>45718.0</v>
      </c>
      <c r="B271" s="204" t="s">
        <v>172</v>
      </c>
      <c r="C271" s="227">
        <v>15.0</v>
      </c>
      <c r="D271" s="223">
        <v>20.0</v>
      </c>
      <c r="E271" s="228" t="s">
        <v>158</v>
      </c>
      <c r="G271" s="222">
        <v>286.0</v>
      </c>
      <c r="H271" s="223">
        <v>335.0</v>
      </c>
      <c r="J271" s="224">
        <f>IFERROR(__xludf.DUMMYFUNCTION("""COMPUTED_VALUE"""),45718.0)</f>
        <v>45718</v>
      </c>
      <c r="K271" s="230">
        <f>IFERROR(__xludf.DUMMYFUNCTION("""COMPUTED_VALUE"""),286.0)</f>
        <v>286</v>
      </c>
      <c r="L271" s="231">
        <f>IFERROR(__xludf.DUMMYFUNCTION("""COMPUTED_VALUE"""),335.0)</f>
        <v>335</v>
      </c>
    </row>
    <row r="272">
      <c r="A272" s="203">
        <v>45718.0</v>
      </c>
      <c r="B272" s="204" t="s">
        <v>172</v>
      </c>
      <c r="C272" s="227">
        <v>15.0</v>
      </c>
      <c r="D272" s="223">
        <v>21.0</v>
      </c>
      <c r="E272" s="228" t="s">
        <v>158</v>
      </c>
      <c r="G272" s="222">
        <v>286.0</v>
      </c>
      <c r="H272" s="223">
        <v>336.0</v>
      </c>
      <c r="J272" s="224">
        <f>IFERROR(__xludf.DUMMYFUNCTION("""COMPUTED_VALUE"""),45718.0)</f>
        <v>45718</v>
      </c>
      <c r="K272" s="230">
        <f>IFERROR(__xludf.DUMMYFUNCTION("""COMPUTED_VALUE"""),286.0)</f>
        <v>286</v>
      </c>
      <c r="L272" s="231">
        <f>IFERROR(__xludf.DUMMYFUNCTION("""COMPUTED_VALUE"""),336.0)</f>
        <v>336</v>
      </c>
    </row>
    <row r="273">
      <c r="A273" s="203">
        <v>45718.0</v>
      </c>
      <c r="B273" s="204" t="s">
        <v>2</v>
      </c>
      <c r="C273" s="227">
        <v>4.0</v>
      </c>
      <c r="D273" s="223">
        <v>13.0</v>
      </c>
      <c r="E273" s="228" t="s">
        <v>158</v>
      </c>
      <c r="G273" s="222">
        <v>286.0</v>
      </c>
      <c r="H273" s="223">
        <v>337.0</v>
      </c>
      <c r="J273" s="224">
        <f>IFERROR(__xludf.DUMMYFUNCTION("""COMPUTED_VALUE"""),45718.0)</f>
        <v>45718</v>
      </c>
      <c r="K273" s="230">
        <f>IFERROR(__xludf.DUMMYFUNCTION("""COMPUTED_VALUE"""),286.0)</f>
        <v>286</v>
      </c>
      <c r="L273" s="231">
        <f>IFERROR(__xludf.DUMMYFUNCTION("""COMPUTED_VALUE"""),337.0)</f>
        <v>337</v>
      </c>
    </row>
    <row r="274">
      <c r="A274" s="203">
        <v>45718.0</v>
      </c>
      <c r="B274" s="204" t="s">
        <v>107</v>
      </c>
      <c r="C274" s="227">
        <v>12.0</v>
      </c>
      <c r="D274" s="223">
        <v>24.0</v>
      </c>
      <c r="E274" s="228" t="s">
        <v>158</v>
      </c>
      <c r="G274" s="222">
        <v>286.0</v>
      </c>
      <c r="H274" s="223">
        <v>338.0</v>
      </c>
      <c r="J274" s="224">
        <f>IFERROR(__xludf.DUMMYFUNCTION("""COMPUTED_VALUE"""),45718.0)</f>
        <v>45718</v>
      </c>
      <c r="K274" s="230">
        <f>IFERROR(__xludf.DUMMYFUNCTION("""COMPUTED_VALUE"""),286.0)</f>
        <v>286</v>
      </c>
      <c r="L274" s="231">
        <f>IFERROR(__xludf.DUMMYFUNCTION("""COMPUTED_VALUE"""),338.0)</f>
        <v>338</v>
      </c>
    </row>
    <row r="275">
      <c r="A275" s="203">
        <v>45718.0</v>
      </c>
      <c r="B275" s="204" t="s">
        <v>113</v>
      </c>
      <c r="C275" s="227">
        <v>14.0</v>
      </c>
      <c r="D275" s="223">
        <v>9.0</v>
      </c>
      <c r="E275" s="228" t="s">
        <v>157</v>
      </c>
      <c r="G275" s="222">
        <v>287.0</v>
      </c>
      <c r="H275" s="223">
        <v>338.0</v>
      </c>
      <c r="J275" s="224">
        <f>IFERROR(__xludf.DUMMYFUNCTION("""COMPUTED_VALUE"""),45718.0)</f>
        <v>45718</v>
      </c>
      <c r="K275" s="230">
        <f>IFERROR(__xludf.DUMMYFUNCTION("""COMPUTED_VALUE"""),287.0)</f>
        <v>287</v>
      </c>
      <c r="L275" s="231">
        <f>IFERROR(__xludf.DUMMYFUNCTION("""COMPUTED_VALUE"""),338.0)</f>
        <v>338</v>
      </c>
    </row>
    <row r="276">
      <c r="A276" s="203">
        <v>45739.0</v>
      </c>
      <c r="B276" s="204" t="s">
        <v>67</v>
      </c>
      <c r="C276" s="227">
        <v>15.0</v>
      </c>
      <c r="D276" s="223">
        <v>28.0</v>
      </c>
      <c r="E276" s="228" t="s">
        <v>158</v>
      </c>
      <c r="G276" s="222">
        <v>287.0</v>
      </c>
      <c r="H276" s="223">
        <v>339.0</v>
      </c>
      <c r="J276" s="224">
        <f>IFERROR(__xludf.DUMMYFUNCTION("""COMPUTED_VALUE"""),45739.0)</f>
        <v>45739</v>
      </c>
      <c r="K276" s="230">
        <f>IFERROR(__xludf.DUMMYFUNCTION("""COMPUTED_VALUE"""),287.0)</f>
        <v>287</v>
      </c>
      <c r="L276" s="231">
        <f>IFERROR(__xludf.DUMMYFUNCTION("""COMPUTED_VALUE"""),339.0)</f>
        <v>339</v>
      </c>
    </row>
    <row r="277">
      <c r="A277" s="203">
        <v>45739.0</v>
      </c>
      <c r="B277" s="204" t="s">
        <v>1</v>
      </c>
      <c r="C277" s="227">
        <v>16.0</v>
      </c>
      <c r="D277" s="223">
        <v>22.0</v>
      </c>
      <c r="E277" s="228" t="s">
        <v>158</v>
      </c>
      <c r="G277" s="222">
        <v>287.0</v>
      </c>
      <c r="H277" s="223">
        <v>340.0</v>
      </c>
      <c r="J277" s="224">
        <f>IFERROR(__xludf.DUMMYFUNCTION("""COMPUTED_VALUE"""),45739.0)</f>
        <v>45739</v>
      </c>
      <c r="K277" s="230">
        <f>IFERROR(__xludf.DUMMYFUNCTION("""COMPUTED_VALUE"""),287.0)</f>
        <v>287</v>
      </c>
      <c r="L277" s="231">
        <f>IFERROR(__xludf.DUMMYFUNCTION("""COMPUTED_VALUE"""),340.0)</f>
        <v>340</v>
      </c>
    </row>
    <row r="278">
      <c r="A278" s="203">
        <v>45739.0</v>
      </c>
      <c r="B278" s="204" t="s">
        <v>134</v>
      </c>
      <c r="C278" s="227">
        <v>15.0</v>
      </c>
      <c r="D278" s="223">
        <v>5.0</v>
      </c>
      <c r="E278" s="228" t="s">
        <v>158</v>
      </c>
      <c r="G278" s="222">
        <v>287.0</v>
      </c>
      <c r="H278" s="223">
        <v>341.0</v>
      </c>
      <c r="J278" s="224">
        <f>IFERROR(__xludf.DUMMYFUNCTION("""COMPUTED_VALUE"""),45739.0)</f>
        <v>45739</v>
      </c>
      <c r="K278" s="230">
        <f>IFERROR(__xludf.DUMMYFUNCTION("""COMPUTED_VALUE"""),287.0)</f>
        <v>287</v>
      </c>
      <c r="L278" s="231">
        <f>IFERROR(__xludf.DUMMYFUNCTION("""COMPUTED_VALUE"""),341.0)</f>
        <v>341</v>
      </c>
    </row>
    <row r="279">
      <c r="A279" s="203">
        <v>45739.0</v>
      </c>
      <c r="B279" s="204" t="s">
        <v>134</v>
      </c>
      <c r="C279" s="227">
        <v>16.0</v>
      </c>
      <c r="D279" s="223">
        <v>5.0</v>
      </c>
      <c r="E279" s="228" t="s">
        <v>157</v>
      </c>
      <c r="G279" s="222">
        <v>288.0</v>
      </c>
      <c r="H279" s="223">
        <v>341.0</v>
      </c>
      <c r="J279" s="224">
        <f>IFERROR(__xludf.DUMMYFUNCTION("""COMPUTED_VALUE"""),45739.0)</f>
        <v>45739</v>
      </c>
      <c r="K279" s="230">
        <f>IFERROR(__xludf.DUMMYFUNCTION("""COMPUTED_VALUE"""),288.0)</f>
        <v>288</v>
      </c>
      <c r="L279" s="231">
        <f>IFERROR(__xludf.DUMMYFUNCTION("""COMPUTED_VALUE"""),341.0)</f>
        <v>341</v>
      </c>
    </row>
    <row r="280">
      <c r="A280" s="203">
        <v>45787.0</v>
      </c>
      <c r="B280" s="204" t="s">
        <v>3</v>
      </c>
      <c r="C280" s="227">
        <v>13.0</v>
      </c>
      <c r="D280" s="223">
        <v>19.0</v>
      </c>
      <c r="E280" s="228" t="s">
        <v>157</v>
      </c>
      <c r="G280" s="222">
        <v>289.0</v>
      </c>
      <c r="H280" s="223">
        <v>341.0</v>
      </c>
      <c r="J280" s="224">
        <f>IFERROR(__xludf.DUMMYFUNCTION("""COMPUTED_VALUE"""),45787.0)</f>
        <v>45787</v>
      </c>
      <c r="K280" s="230">
        <f>IFERROR(__xludf.DUMMYFUNCTION("""COMPUTED_VALUE"""),289.0)</f>
        <v>289</v>
      </c>
      <c r="L280" s="231">
        <f>IFERROR(__xludf.DUMMYFUNCTION("""COMPUTED_VALUE"""),341.0)</f>
        <v>341</v>
      </c>
    </row>
    <row r="281">
      <c r="A281" s="203">
        <v>45787.0</v>
      </c>
      <c r="B281" s="204" t="s">
        <v>165</v>
      </c>
      <c r="C281" s="227">
        <v>18.0</v>
      </c>
      <c r="D281" s="223">
        <v>30.0</v>
      </c>
      <c r="E281" s="228" t="s">
        <v>158</v>
      </c>
      <c r="G281" s="222">
        <v>289.0</v>
      </c>
      <c r="H281" s="223">
        <v>342.0</v>
      </c>
      <c r="J281" s="224">
        <f>IFERROR(__xludf.DUMMYFUNCTION("""COMPUTED_VALUE"""),45787.0)</f>
        <v>45787</v>
      </c>
      <c r="K281" s="230">
        <f>IFERROR(__xludf.DUMMYFUNCTION("""COMPUTED_VALUE"""),289.0)</f>
        <v>289</v>
      </c>
      <c r="L281" s="231">
        <f>IFERROR(__xludf.DUMMYFUNCTION("""COMPUTED_VALUE"""),342.0)</f>
        <v>342</v>
      </c>
    </row>
    <row r="282">
      <c r="A282" s="203">
        <v>45787.0</v>
      </c>
      <c r="B282" s="204" t="s">
        <v>2</v>
      </c>
      <c r="C282" s="227">
        <v>4.0</v>
      </c>
      <c r="D282" s="223">
        <v>14.0</v>
      </c>
      <c r="E282" s="228" t="s">
        <v>158</v>
      </c>
      <c r="G282" s="222">
        <v>289.0</v>
      </c>
      <c r="H282" s="223">
        <v>343.0</v>
      </c>
      <c r="J282" s="224">
        <f>IFERROR(__xludf.DUMMYFUNCTION("""COMPUTED_VALUE"""),45787.0)</f>
        <v>45787</v>
      </c>
      <c r="K282" s="230">
        <f>IFERROR(__xludf.DUMMYFUNCTION("""COMPUTED_VALUE"""),289.0)</f>
        <v>289</v>
      </c>
      <c r="L282" s="231">
        <f>IFERROR(__xludf.DUMMYFUNCTION("""COMPUTED_VALUE"""),343.0)</f>
        <v>343</v>
      </c>
    </row>
    <row r="283">
      <c r="A283" s="203">
        <v>45809.0</v>
      </c>
      <c r="B283" s="204" t="s">
        <v>67</v>
      </c>
      <c r="C283" s="227">
        <v>15.0</v>
      </c>
      <c r="D283" s="223">
        <v>29.0</v>
      </c>
      <c r="E283" s="228" t="s">
        <v>158</v>
      </c>
      <c r="G283" s="222">
        <v>289.0</v>
      </c>
      <c r="H283" s="223">
        <v>344.0</v>
      </c>
      <c r="J283" s="224">
        <f>IFERROR(__xludf.DUMMYFUNCTION("""COMPUTED_VALUE"""),45809.0)</f>
        <v>45809</v>
      </c>
      <c r="K283" s="230">
        <f>IFERROR(__xludf.DUMMYFUNCTION("""COMPUTED_VALUE"""),289.0)</f>
        <v>289</v>
      </c>
      <c r="L283" s="231">
        <f>IFERROR(__xludf.DUMMYFUNCTION("""COMPUTED_VALUE"""),344.0)</f>
        <v>344</v>
      </c>
    </row>
    <row r="284">
      <c r="A284" s="203">
        <v>45809.0</v>
      </c>
      <c r="B284" s="204" t="s">
        <v>180</v>
      </c>
      <c r="C284" s="227">
        <v>12.0</v>
      </c>
      <c r="D284" s="223">
        <v>11.0</v>
      </c>
      <c r="E284" s="228" t="s">
        <v>158</v>
      </c>
      <c r="G284" s="222">
        <v>289.0</v>
      </c>
      <c r="H284" s="223">
        <v>345.0</v>
      </c>
      <c r="J284" s="224">
        <f>IFERROR(__xludf.DUMMYFUNCTION("""COMPUTED_VALUE"""),45809.0)</f>
        <v>45809</v>
      </c>
      <c r="K284" s="230">
        <f>IFERROR(__xludf.DUMMYFUNCTION("""COMPUTED_VALUE"""),289.0)</f>
        <v>289</v>
      </c>
      <c r="L284" s="231">
        <f>IFERROR(__xludf.DUMMYFUNCTION("""COMPUTED_VALUE"""),345.0)</f>
        <v>345</v>
      </c>
    </row>
    <row r="285">
      <c r="A285" s="203">
        <v>45809.0</v>
      </c>
      <c r="B285" s="204" t="s">
        <v>176</v>
      </c>
      <c r="C285" s="227">
        <v>14.0</v>
      </c>
      <c r="D285" s="223">
        <v>13.0</v>
      </c>
      <c r="E285" s="228" t="s">
        <v>158</v>
      </c>
      <c r="G285" s="222">
        <v>289.0</v>
      </c>
      <c r="H285" s="223">
        <v>346.0</v>
      </c>
      <c r="J285" s="224">
        <f>IFERROR(__xludf.DUMMYFUNCTION("""COMPUTED_VALUE"""),45809.0)</f>
        <v>45809</v>
      </c>
      <c r="K285" s="230">
        <f>IFERROR(__xludf.DUMMYFUNCTION("""COMPUTED_VALUE"""),289.0)</f>
        <v>289</v>
      </c>
      <c r="L285" s="231">
        <f>IFERROR(__xludf.DUMMYFUNCTION("""COMPUTED_VALUE"""),346.0)</f>
        <v>346</v>
      </c>
    </row>
    <row r="286">
      <c r="A286" s="203">
        <v>45809.0</v>
      </c>
      <c r="B286" s="204" t="s">
        <v>165</v>
      </c>
      <c r="C286" s="227">
        <v>18.0</v>
      </c>
      <c r="D286" s="223">
        <v>31.0</v>
      </c>
      <c r="E286" s="228" t="s">
        <v>158</v>
      </c>
      <c r="G286" s="222">
        <v>289.0</v>
      </c>
      <c r="H286" s="223">
        <v>347.0</v>
      </c>
      <c r="J286" s="224">
        <f>IFERROR(__xludf.DUMMYFUNCTION("""COMPUTED_VALUE"""),45809.0)</f>
        <v>45809</v>
      </c>
      <c r="K286" s="230">
        <f>IFERROR(__xludf.DUMMYFUNCTION("""COMPUTED_VALUE"""),289.0)</f>
        <v>289</v>
      </c>
      <c r="L286" s="231">
        <f>IFERROR(__xludf.DUMMYFUNCTION("""COMPUTED_VALUE"""),347.0)</f>
        <v>347</v>
      </c>
    </row>
    <row r="287">
      <c r="A287" s="203">
        <v>45856.0</v>
      </c>
      <c r="B287" s="204" t="s">
        <v>165</v>
      </c>
      <c r="C287" s="227">
        <v>18.0</v>
      </c>
      <c r="D287" s="223">
        <v>32.0</v>
      </c>
      <c r="E287" s="228" t="s">
        <v>158</v>
      </c>
      <c r="G287" s="222">
        <v>289.0</v>
      </c>
      <c r="H287" s="223">
        <v>348.0</v>
      </c>
      <c r="J287" s="224">
        <f>IFERROR(__xludf.DUMMYFUNCTION("""COMPUTED_VALUE"""),45856.0)</f>
        <v>45856</v>
      </c>
      <c r="K287" s="230">
        <f>IFERROR(__xludf.DUMMYFUNCTION("""COMPUTED_VALUE"""),289.0)</f>
        <v>289</v>
      </c>
      <c r="L287" s="231">
        <f>IFERROR(__xludf.DUMMYFUNCTION("""COMPUTED_VALUE"""),348.0)</f>
        <v>348</v>
      </c>
    </row>
    <row r="288">
      <c r="A288" s="203">
        <v>45856.0</v>
      </c>
      <c r="B288" s="204" t="s">
        <v>64</v>
      </c>
      <c r="C288" s="227">
        <v>17.0</v>
      </c>
      <c r="D288" s="223">
        <v>13.0</v>
      </c>
      <c r="E288" s="228" t="s">
        <v>157</v>
      </c>
      <c r="G288" s="222">
        <v>290.0</v>
      </c>
      <c r="H288" s="223">
        <v>348.0</v>
      </c>
      <c r="J288" s="224">
        <f>IFERROR(__xludf.DUMMYFUNCTION("""COMPUTED_VALUE"""),45856.0)</f>
        <v>45856</v>
      </c>
      <c r="K288" s="230">
        <f>IFERROR(__xludf.DUMMYFUNCTION("""COMPUTED_VALUE"""),290.0)</f>
        <v>290</v>
      </c>
      <c r="L288" s="231">
        <f>IFERROR(__xludf.DUMMYFUNCTION("""COMPUTED_VALUE"""),348.0)</f>
        <v>348</v>
      </c>
    </row>
    <row r="289">
      <c r="A289" s="203">
        <v>45856.0</v>
      </c>
      <c r="B289" s="204" t="s">
        <v>85</v>
      </c>
      <c r="C289" s="227">
        <v>6.0</v>
      </c>
      <c r="D289" s="223">
        <v>9.0</v>
      </c>
      <c r="E289" s="228" t="s">
        <v>158</v>
      </c>
      <c r="G289" s="222">
        <v>290.0</v>
      </c>
      <c r="H289" s="223">
        <v>349.0</v>
      </c>
      <c r="J289" s="224">
        <f>IFERROR(__xludf.DUMMYFUNCTION("""COMPUTED_VALUE"""),45856.0)</f>
        <v>45856</v>
      </c>
      <c r="K289" s="230">
        <f>IFERROR(__xludf.DUMMYFUNCTION("""COMPUTED_VALUE"""),290.0)</f>
        <v>290</v>
      </c>
      <c r="L289" s="231">
        <f>IFERROR(__xludf.DUMMYFUNCTION("""COMPUTED_VALUE"""),349.0)</f>
        <v>349</v>
      </c>
    </row>
    <row r="290">
      <c r="A290" s="203">
        <v>45856.0</v>
      </c>
      <c r="B290" s="204" t="s">
        <v>107</v>
      </c>
      <c r="C290" s="227">
        <v>12.0</v>
      </c>
      <c r="D290" s="223">
        <v>25.0</v>
      </c>
      <c r="E290" s="228" t="s">
        <v>158</v>
      </c>
      <c r="G290" s="222">
        <v>290.0</v>
      </c>
      <c r="H290" s="223">
        <v>350.0</v>
      </c>
      <c r="J290" s="224">
        <f>IFERROR(__xludf.DUMMYFUNCTION("""COMPUTED_VALUE"""),45856.0)</f>
        <v>45856</v>
      </c>
      <c r="K290" s="230">
        <f>IFERROR(__xludf.DUMMYFUNCTION("""COMPUTED_VALUE"""),290.0)</f>
        <v>290</v>
      </c>
      <c r="L290" s="231">
        <f>IFERROR(__xludf.DUMMYFUNCTION("""COMPUTED_VALUE"""),350.0)</f>
        <v>350</v>
      </c>
    </row>
    <row r="291">
      <c r="A291" s="203">
        <v>45856.0</v>
      </c>
      <c r="B291" s="204" t="s">
        <v>176</v>
      </c>
      <c r="C291" s="227">
        <v>14.0</v>
      </c>
      <c r="D291" s="223">
        <v>14.0</v>
      </c>
      <c r="E291" s="228" t="s">
        <v>158</v>
      </c>
      <c r="G291" s="222">
        <v>290.0</v>
      </c>
      <c r="H291" s="223">
        <v>351.0</v>
      </c>
      <c r="J291" s="224">
        <f>IFERROR(__xludf.DUMMYFUNCTION("""COMPUTED_VALUE"""),45856.0)</f>
        <v>45856</v>
      </c>
      <c r="K291" s="230">
        <f>IFERROR(__xludf.DUMMYFUNCTION("""COMPUTED_VALUE"""),290.0)</f>
        <v>290</v>
      </c>
      <c r="L291" s="231">
        <f>IFERROR(__xludf.DUMMYFUNCTION("""COMPUTED_VALUE"""),351.0)</f>
        <v>351</v>
      </c>
    </row>
    <row r="292">
      <c r="A292" s="203">
        <v>45886.0</v>
      </c>
      <c r="B292" s="204" t="s">
        <v>2</v>
      </c>
      <c r="C292" s="227">
        <v>5.0</v>
      </c>
      <c r="D292" s="223">
        <v>14.0</v>
      </c>
      <c r="E292" s="228" t="s">
        <v>157</v>
      </c>
      <c r="G292" s="222">
        <v>291.0</v>
      </c>
      <c r="H292" s="223">
        <v>351.0</v>
      </c>
      <c r="J292" s="224">
        <f>IFERROR(__xludf.DUMMYFUNCTION("""COMPUTED_VALUE"""),45886.0)</f>
        <v>45886</v>
      </c>
      <c r="K292" s="230">
        <f>IFERROR(__xludf.DUMMYFUNCTION("""COMPUTED_VALUE"""),291.0)</f>
        <v>291</v>
      </c>
      <c r="L292" s="231">
        <f>IFERROR(__xludf.DUMMYFUNCTION("""COMPUTED_VALUE"""),351.0)</f>
        <v>351</v>
      </c>
    </row>
    <row r="293">
      <c r="A293" s="203">
        <v>45920.0</v>
      </c>
      <c r="B293" s="204" t="s">
        <v>178</v>
      </c>
      <c r="C293" s="227">
        <v>12.0</v>
      </c>
      <c r="D293" s="223">
        <v>15.0</v>
      </c>
      <c r="E293" s="228" t="s">
        <v>157</v>
      </c>
      <c r="G293" s="222">
        <v>292.0</v>
      </c>
      <c r="H293" s="223">
        <v>351.0</v>
      </c>
      <c r="J293" s="224">
        <f>IFERROR(__xludf.DUMMYFUNCTION("""COMPUTED_VALUE"""),45920.0)</f>
        <v>45920</v>
      </c>
      <c r="K293" s="230">
        <f>IFERROR(__xludf.DUMMYFUNCTION("""COMPUTED_VALUE"""),292.0)</f>
        <v>292</v>
      </c>
      <c r="L293" s="231">
        <f>IFERROR(__xludf.DUMMYFUNCTION("""COMPUTED_VALUE"""),351.0)</f>
        <v>351</v>
      </c>
    </row>
    <row r="294">
      <c r="A294" s="203">
        <v>45920.0</v>
      </c>
      <c r="B294" s="204" t="s">
        <v>115</v>
      </c>
      <c r="C294" s="227">
        <v>9.0</v>
      </c>
      <c r="D294" s="223">
        <v>16.0</v>
      </c>
      <c r="E294" s="228" t="s">
        <v>157</v>
      </c>
      <c r="G294" s="222">
        <v>293.0</v>
      </c>
      <c r="H294" s="223">
        <v>351.0</v>
      </c>
      <c r="J294" s="224">
        <f>IFERROR(__xludf.DUMMYFUNCTION("""COMPUTED_VALUE"""),45920.0)</f>
        <v>45920</v>
      </c>
      <c r="K294" s="230">
        <f>IFERROR(__xludf.DUMMYFUNCTION("""COMPUTED_VALUE"""),293.0)</f>
        <v>293</v>
      </c>
      <c r="L294" s="231">
        <f>IFERROR(__xludf.DUMMYFUNCTION("""COMPUTED_VALUE"""),351.0)</f>
        <v>351</v>
      </c>
    </row>
    <row r="295">
      <c r="A295" s="203">
        <v>45920.0</v>
      </c>
      <c r="B295" s="204" t="s">
        <v>181</v>
      </c>
      <c r="C295" s="227">
        <v>12.0</v>
      </c>
      <c r="D295" s="223">
        <v>9.0</v>
      </c>
      <c r="E295" s="228" t="s">
        <v>158</v>
      </c>
      <c r="G295" s="222">
        <v>293.0</v>
      </c>
      <c r="H295" s="223">
        <v>352.0</v>
      </c>
      <c r="J295" s="224">
        <f>IFERROR(__xludf.DUMMYFUNCTION("""COMPUTED_VALUE"""),45920.0)</f>
        <v>45920</v>
      </c>
      <c r="K295" s="230">
        <f>IFERROR(__xludf.DUMMYFUNCTION("""COMPUTED_VALUE"""),293.0)</f>
        <v>293</v>
      </c>
      <c r="L295" s="231">
        <f>IFERROR(__xludf.DUMMYFUNCTION("""COMPUTED_VALUE"""),352.0)</f>
        <v>352</v>
      </c>
    </row>
    <row r="296">
      <c r="A296" s="203">
        <v>45920.0</v>
      </c>
      <c r="B296" s="204" t="s">
        <v>85</v>
      </c>
      <c r="C296" s="227">
        <v>6.0</v>
      </c>
      <c r="D296" s="223">
        <v>10.0</v>
      </c>
      <c r="E296" s="228" t="s">
        <v>158</v>
      </c>
      <c r="G296" s="222">
        <v>293.0</v>
      </c>
      <c r="H296" s="223">
        <v>353.0</v>
      </c>
      <c r="J296" s="224">
        <f>IFERROR(__xludf.DUMMYFUNCTION("""COMPUTED_VALUE"""),45920.0)</f>
        <v>45920</v>
      </c>
      <c r="K296" s="230">
        <f>IFERROR(__xludf.DUMMYFUNCTION("""COMPUTED_VALUE"""),293.0)</f>
        <v>293</v>
      </c>
      <c r="L296" s="231">
        <f>IFERROR(__xludf.DUMMYFUNCTION("""COMPUTED_VALUE"""),353.0)</f>
        <v>353</v>
      </c>
    </row>
    <row r="297">
      <c r="A297" s="203">
        <v>45920.0</v>
      </c>
      <c r="B297" s="204" t="s">
        <v>176</v>
      </c>
      <c r="C297" s="227">
        <v>15.0</v>
      </c>
      <c r="D297" s="223">
        <v>14.0</v>
      </c>
      <c r="E297" s="228" t="s">
        <v>157</v>
      </c>
      <c r="G297" s="222">
        <v>294.0</v>
      </c>
      <c r="H297" s="223">
        <v>353.0</v>
      </c>
      <c r="J297" s="224">
        <f>IFERROR(__xludf.DUMMYFUNCTION("""COMPUTED_VALUE"""),45920.0)</f>
        <v>45920</v>
      </c>
      <c r="K297" s="230">
        <f>IFERROR(__xludf.DUMMYFUNCTION("""COMPUTED_VALUE"""),294.0)</f>
        <v>294</v>
      </c>
      <c r="L297" s="231">
        <f>IFERROR(__xludf.DUMMYFUNCTION("""COMPUTED_VALUE"""),353.0)</f>
        <v>353</v>
      </c>
    </row>
    <row r="298">
      <c r="A298" s="203">
        <v>45934.0</v>
      </c>
      <c r="B298" s="204" t="s">
        <v>39</v>
      </c>
      <c r="C298" s="227">
        <v>9.0</v>
      </c>
      <c r="D298" s="223">
        <v>7.0</v>
      </c>
      <c r="E298" s="228" t="s">
        <v>157</v>
      </c>
      <c r="G298" s="222">
        <v>295.0</v>
      </c>
      <c r="H298" s="223">
        <v>353.0</v>
      </c>
      <c r="J298" s="224">
        <f>IFERROR(__xludf.DUMMYFUNCTION("""COMPUTED_VALUE"""),45934.0)</f>
        <v>45934</v>
      </c>
      <c r="K298" s="230">
        <f>IFERROR(__xludf.DUMMYFUNCTION("""COMPUTED_VALUE"""),295.0)</f>
        <v>295</v>
      </c>
      <c r="L298" s="231">
        <f>IFERROR(__xludf.DUMMYFUNCTION("""COMPUTED_VALUE"""),353.0)</f>
        <v>353</v>
      </c>
    </row>
    <row r="299">
      <c r="A299" s="203">
        <v>45934.0</v>
      </c>
      <c r="B299" s="204" t="s">
        <v>175</v>
      </c>
      <c r="C299" s="227">
        <v>15.0</v>
      </c>
      <c r="D299" s="223">
        <v>20.0</v>
      </c>
      <c r="E299" s="228" t="s">
        <v>157</v>
      </c>
      <c r="G299" s="222">
        <v>296.0</v>
      </c>
      <c r="H299" s="223">
        <v>353.0</v>
      </c>
      <c r="J299" s="224">
        <f>IFERROR(__xludf.DUMMYFUNCTION("""COMPUTED_VALUE"""),45934.0)</f>
        <v>45934</v>
      </c>
      <c r="K299" s="230">
        <f>IFERROR(__xludf.DUMMYFUNCTION("""COMPUTED_VALUE"""),296.0)</f>
        <v>296</v>
      </c>
      <c r="L299" s="231">
        <f>IFERROR(__xludf.DUMMYFUNCTION("""COMPUTED_VALUE"""),353.0)</f>
        <v>353</v>
      </c>
    </row>
    <row r="300">
      <c r="A300" s="203">
        <v>45934.0</v>
      </c>
      <c r="B300" s="204" t="s">
        <v>172</v>
      </c>
      <c r="C300" s="227">
        <v>15.0</v>
      </c>
      <c r="D300" s="223">
        <v>22.0</v>
      </c>
      <c r="E300" s="228" t="s">
        <v>158</v>
      </c>
      <c r="G300" s="222">
        <v>296.0</v>
      </c>
      <c r="H300" s="223">
        <v>354.0</v>
      </c>
      <c r="J300" s="224">
        <f>IFERROR(__xludf.DUMMYFUNCTION("""COMPUTED_VALUE"""),45934.0)</f>
        <v>45934</v>
      </c>
      <c r="K300" s="230">
        <f>IFERROR(__xludf.DUMMYFUNCTION("""COMPUTED_VALUE"""),296.0)</f>
        <v>296</v>
      </c>
      <c r="L300" s="231">
        <f>IFERROR(__xludf.DUMMYFUNCTION("""COMPUTED_VALUE"""),354.0)</f>
        <v>354</v>
      </c>
    </row>
    <row r="301">
      <c r="A301" s="203">
        <v>45934.0</v>
      </c>
      <c r="B301" s="204" t="s">
        <v>172</v>
      </c>
      <c r="C301" s="227">
        <v>15.0</v>
      </c>
      <c r="D301" s="223">
        <v>23.0</v>
      </c>
      <c r="E301" s="228" t="s">
        <v>158</v>
      </c>
      <c r="G301" s="222">
        <v>296.0</v>
      </c>
      <c r="H301" s="223">
        <v>355.0</v>
      </c>
      <c r="J301" s="224">
        <f>IFERROR(__xludf.DUMMYFUNCTION("""COMPUTED_VALUE"""),45934.0)</f>
        <v>45934</v>
      </c>
      <c r="K301" s="230">
        <f>IFERROR(__xludf.DUMMYFUNCTION("""COMPUTED_VALUE"""),296.0)</f>
        <v>296</v>
      </c>
      <c r="L301" s="231">
        <f>IFERROR(__xludf.DUMMYFUNCTION("""COMPUTED_VALUE"""),355.0)</f>
        <v>355</v>
      </c>
    </row>
    <row r="302">
      <c r="A302" s="203">
        <v>45934.0</v>
      </c>
      <c r="B302" s="204" t="s">
        <v>134</v>
      </c>
      <c r="C302" s="227">
        <v>17.0</v>
      </c>
      <c r="D302" s="223">
        <v>5.0</v>
      </c>
      <c r="E302" s="228" t="s">
        <v>157</v>
      </c>
      <c r="G302" s="222">
        <v>297.0</v>
      </c>
      <c r="H302" s="223">
        <v>355.0</v>
      </c>
      <c r="J302" s="224">
        <f>IFERROR(__xludf.DUMMYFUNCTION("""COMPUTED_VALUE"""),45934.0)</f>
        <v>45934</v>
      </c>
      <c r="K302" s="230">
        <f>IFERROR(__xludf.DUMMYFUNCTION("""COMPUTED_VALUE"""),297.0)</f>
        <v>297</v>
      </c>
      <c r="L302" s="231">
        <f>IFERROR(__xludf.DUMMYFUNCTION("""COMPUTED_VALUE"""),355.0)</f>
        <v>355</v>
      </c>
    </row>
    <row r="303">
      <c r="A303" s="203">
        <v>45934.0</v>
      </c>
      <c r="B303" s="204" t="s">
        <v>113</v>
      </c>
      <c r="C303" s="227">
        <v>15.0</v>
      </c>
      <c r="D303" s="223">
        <v>9.0</v>
      </c>
      <c r="E303" s="228" t="s">
        <v>157</v>
      </c>
      <c r="G303" s="222">
        <v>298.0</v>
      </c>
      <c r="H303" s="223">
        <v>355.0</v>
      </c>
      <c r="J303" s="224">
        <f>IFERROR(__xludf.DUMMYFUNCTION("""COMPUTED_VALUE"""),45934.0)</f>
        <v>45934</v>
      </c>
      <c r="K303" s="230">
        <f>IFERROR(__xludf.DUMMYFUNCTION("""COMPUTED_VALUE"""),298.0)</f>
        <v>298</v>
      </c>
      <c r="L303" s="231">
        <f>IFERROR(__xludf.DUMMYFUNCTION("""COMPUTED_VALUE"""),355.0)</f>
        <v>355</v>
      </c>
    </row>
    <row r="304">
      <c r="A304" s="203">
        <v>45934.0</v>
      </c>
      <c r="B304" s="204" t="s">
        <v>181</v>
      </c>
      <c r="C304" s="227">
        <v>12.0</v>
      </c>
      <c r="D304" s="223">
        <v>10.0</v>
      </c>
      <c r="E304" s="228" t="s">
        <v>158</v>
      </c>
      <c r="G304" s="222">
        <v>298.0</v>
      </c>
      <c r="H304" s="223">
        <v>356.0</v>
      </c>
      <c r="J304" s="224">
        <f>IFERROR(__xludf.DUMMYFUNCTION("""COMPUTED_VALUE"""),45934.0)</f>
        <v>45934</v>
      </c>
      <c r="K304" s="230">
        <f>IFERROR(__xludf.DUMMYFUNCTION("""COMPUTED_VALUE"""),298.0)</f>
        <v>298</v>
      </c>
      <c r="L304" s="231">
        <f>IFERROR(__xludf.DUMMYFUNCTION("""COMPUTED_VALUE"""),356.0)</f>
        <v>356</v>
      </c>
    </row>
    <row r="305">
      <c r="A305" s="203">
        <v>45934.0</v>
      </c>
      <c r="B305" s="204" t="s">
        <v>179</v>
      </c>
      <c r="C305" s="227">
        <v>11.0</v>
      </c>
      <c r="D305" s="223">
        <v>11.0</v>
      </c>
      <c r="E305" s="228" t="s">
        <v>158</v>
      </c>
      <c r="G305" s="222">
        <v>298.0</v>
      </c>
      <c r="H305" s="223">
        <v>357.0</v>
      </c>
      <c r="J305" s="224">
        <f>IFERROR(__xludf.DUMMYFUNCTION("""COMPUTED_VALUE"""),45934.0)</f>
        <v>45934</v>
      </c>
      <c r="K305" s="230">
        <f>IFERROR(__xludf.DUMMYFUNCTION("""COMPUTED_VALUE"""),298.0)</f>
        <v>298</v>
      </c>
      <c r="L305" s="231">
        <f>IFERROR(__xludf.DUMMYFUNCTION("""COMPUTED_VALUE"""),357.0)</f>
        <v>357</v>
      </c>
    </row>
    <row r="306">
      <c r="A306" s="232">
        <v>45990.0</v>
      </c>
      <c r="B306" s="204" t="s">
        <v>107</v>
      </c>
      <c r="C306" s="227">
        <v>13.0</v>
      </c>
      <c r="D306" s="223">
        <v>25.0</v>
      </c>
      <c r="E306" s="228" t="s">
        <v>157</v>
      </c>
      <c r="G306" s="222">
        <v>299.0</v>
      </c>
      <c r="H306" s="223">
        <v>357.0</v>
      </c>
      <c r="J306" s="224">
        <f>IFERROR(__xludf.DUMMYFUNCTION("""COMPUTED_VALUE"""),45990.0)</f>
        <v>45990</v>
      </c>
      <c r="K306" s="230">
        <f>IFERROR(__xludf.DUMMYFUNCTION("""COMPUTED_VALUE"""),299.0)</f>
        <v>299</v>
      </c>
      <c r="L306" s="231">
        <f>IFERROR(__xludf.DUMMYFUNCTION("""COMPUTED_VALUE"""),357.0)</f>
        <v>357</v>
      </c>
    </row>
    <row r="307">
      <c r="A307" s="232">
        <v>45990.0</v>
      </c>
      <c r="B307" s="204" t="s">
        <v>2</v>
      </c>
      <c r="C307" s="227">
        <v>6.0</v>
      </c>
      <c r="D307" s="223">
        <v>14.0</v>
      </c>
      <c r="E307" s="228" t="s">
        <v>157</v>
      </c>
      <c r="G307" s="222">
        <v>300.0</v>
      </c>
      <c r="H307" s="223">
        <v>357.0</v>
      </c>
      <c r="J307" s="224">
        <f>IFERROR(__xludf.DUMMYFUNCTION("""COMPUTED_VALUE"""),45990.0)</f>
        <v>45990</v>
      </c>
      <c r="K307" s="230">
        <f>IFERROR(__xludf.DUMMYFUNCTION("""COMPUTED_VALUE"""),300.0)</f>
        <v>300</v>
      </c>
      <c r="L307" s="231">
        <f>IFERROR(__xludf.DUMMYFUNCTION("""COMPUTED_VALUE"""),357.0)</f>
        <v>357</v>
      </c>
    </row>
    <row r="308">
      <c r="A308" s="232">
        <v>45990.0</v>
      </c>
      <c r="B308" s="204" t="s">
        <v>176</v>
      </c>
      <c r="C308" s="227">
        <v>15.0</v>
      </c>
      <c r="D308" s="223">
        <v>15.0</v>
      </c>
      <c r="E308" s="228" t="s">
        <v>158</v>
      </c>
      <c r="G308" s="222">
        <v>300.0</v>
      </c>
      <c r="H308" s="223">
        <v>358.0</v>
      </c>
      <c r="J308" s="224">
        <f>IFERROR(__xludf.DUMMYFUNCTION("""COMPUTED_VALUE"""),45990.0)</f>
        <v>45990</v>
      </c>
      <c r="K308" s="230">
        <f>IFERROR(__xludf.DUMMYFUNCTION("""COMPUTED_VALUE"""),300.0)</f>
        <v>300</v>
      </c>
      <c r="L308" s="231">
        <f>IFERROR(__xludf.DUMMYFUNCTION("""COMPUTED_VALUE"""),358.0)</f>
        <v>358</v>
      </c>
    </row>
    <row r="309">
      <c r="A309" s="203">
        <v>45997.0</v>
      </c>
      <c r="B309" s="204" t="s">
        <v>1</v>
      </c>
      <c r="C309" s="227">
        <v>16.0</v>
      </c>
      <c r="D309" s="223">
        <v>24.0</v>
      </c>
      <c r="E309" s="228" t="s">
        <v>158</v>
      </c>
      <c r="G309" s="222">
        <v>300.0</v>
      </c>
      <c r="H309" s="223">
        <v>360.0</v>
      </c>
      <c r="J309" s="224">
        <f>IFERROR(__xludf.DUMMYFUNCTION("""COMPUTED_VALUE"""),45997.0)</f>
        <v>45997</v>
      </c>
      <c r="K309" s="230">
        <f>IFERROR(__xludf.DUMMYFUNCTION("""COMPUTED_VALUE"""),300.0)</f>
        <v>300</v>
      </c>
      <c r="L309" s="231">
        <f>IFERROR(__xludf.DUMMYFUNCTION("""COMPUTED_VALUE"""),360.0)</f>
        <v>360</v>
      </c>
    </row>
    <row r="310">
      <c r="A310" s="203">
        <v>45997.0</v>
      </c>
      <c r="B310" s="204" t="s">
        <v>115</v>
      </c>
      <c r="C310" s="227">
        <v>9.0</v>
      </c>
      <c r="D310" s="223">
        <v>17.0</v>
      </c>
      <c r="E310" s="228" t="s">
        <v>158</v>
      </c>
      <c r="G310" s="222">
        <v>300.0</v>
      </c>
      <c r="H310" s="223">
        <v>361.0</v>
      </c>
      <c r="J310" s="224">
        <f>IFERROR(__xludf.DUMMYFUNCTION("""COMPUTED_VALUE"""),45997.0)</f>
        <v>45997</v>
      </c>
      <c r="K310" s="230">
        <f>IFERROR(__xludf.DUMMYFUNCTION("""COMPUTED_VALUE"""),300.0)</f>
        <v>300</v>
      </c>
      <c r="L310" s="231">
        <f>IFERROR(__xludf.DUMMYFUNCTION("""COMPUTED_VALUE"""),361.0)</f>
        <v>361</v>
      </c>
    </row>
    <row r="311">
      <c r="A311" s="203">
        <v>45997.0</v>
      </c>
      <c r="B311" s="204" t="s">
        <v>84</v>
      </c>
      <c r="C311" s="227">
        <v>15.0</v>
      </c>
      <c r="D311" s="223">
        <v>11.0</v>
      </c>
      <c r="E311" s="228" t="s">
        <v>158</v>
      </c>
      <c r="G311" s="222">
        <v>300.0</v>
      </c>
      <c r="H311" s="223">
        <v>362.0</v>
      </c>
      <c r="J311" s="224">
        <f>IFERROR(__xludf.DUMMYFUNCTION("""COMPUTED_VALUE"""),45997.0)</f>
        <v>45997</v>
      </c>
      <c r="K311" s="230">
        <f>IFERROR(__xludf.DUMMYFUNCTION("""COMPUTED_VALUE"""),300.0)</f>
        <v>300</v>
      </c>
      <c r="L311" s="231">
        <f>IFERROR(__xludf.DUMMYFUNCTION("""COMPUTED_VALUE"""),362.0)</f>
        <v>362</v>
      </c>
    </row>
    <row r="312">
      <c r="A312" s="203">
        <v>45997.0</v>
      </c>
      <c r="B312" s="204" t="s">
        <v>179</v>
      </c>
      <c r="C312" s="227">
        <v>11.0</v>
      </c>
      <c r="D312" s="223">
        <v>12.0</v>
      </c>
      <c r="E312" s="228" t="s">
        <v>158</v>
      </c>
      <c r="G312" s="222">
        <v>300.0</v>
      </c>
      <c r="H312" s="223">
        <v>363.0</v>
      </c>
      <c r="J312" s="224">
        <f>IFERROR(__xludf.DUMMYFUNCTION("""COMPUTED_VALUE"""),45997.0)</f>
        <v>45997</v>
      </c>
      <c r="K312" s="230">
        <f>IFERROR(__xludf.DUMMYFUNCTION("""COMPUTED_VALUE"""),300.0)</f>
        <v>300</v>
      </c>
      <c r="L312" s="231">
        <f>IFERROR(__xludf.DUMMYFUNCTION("""COMPUTED_VALUE"""),363.0)</f>
        <v>363</v>
      </c>
    </row>
    <row r="313">
      <c r="A313" s="203">
        <v>45997.0</v>
      </c>
      <c r="B313" s="204" t="s">
        <v>179</v>
      </c>
      <c r="C313" s="227">
        <v>11.0</v>
      </c>
      <c r="D313" s="223">
        <v>13.0</v>
      </c>
      <c r="E313" s="228" t="s">
        <v>158</v>
      </c>
      <c r="G313" s="222">
        <v>300.0</v>
      </c>
      <c r="H313" s="223">
        <v>364.0</v>
      </c>
      <c r="J313" s="224">
        <f>IFERROR(__xludf.DUMMYFUNCTION("""COMPUTED_VALUE"""),45997.0)</f>
        <v>45997</v>
      </c>
      <c r="K313" s="230">
        <f>IFERROR(__xludf.DUMMYFUNCTION("""COMPUTED_VALUE"""),300.0)</f>
        <v>300</v>
      </c>
      <c r="L313" s="231">
        <f>IFERROR(__xludf.DUMMYFUNCTION("""COMPUTED_VALUE"""),364.0)</f>
        <v>364</v>
      </c>
    </row>
    <row r="314">
      <c r="A314" s="203">
        <v>45997.0</v>
      </c>
      <c r="B314" s="204" t="s">
        <v>179</v>
      </c>
      <c r="C314" s="227">
        <v>11.0</v>
      </c>
      <c r="D314" s="223">
        <v>14.0</v>
      </c>
      <c r="E314" s="228" t="s">
        <v>158</v>
      </c>
      <c r="G314" s="222">
        <v>300.0</v>
      </c>
      <c r="H314" s="223">
        <v>365.0</v>
      </c>
      <c r="J314" s="224">
        <f>IFERROR(__xludf.DUMMYFUNCTION("""COMPUTED_VALUE"""),45997.0)</f>
        <v>45997</v>
      </c>
      <c r="K314" s="230">
        <f>IFERROR(__xludf.DUMMYFUNCTION("""COMPUTED_VALUE"""),300.0)</f>
        <v>300</v>
      </c>
      <c r="L314" s="231">
        <f>IFERROR(__xludf.DUMMYFUNCTION("""COMPUTED_VALUE"""),365.0)</f>
        <v>365</v>
      </c>
    </row>
    <row r="315">
      <c r="A315" s="232">
        <v>46004.0</v>
      </c>
      <c r="B315" s="204" t="s">
        <v>85</v>
      </c>
      <c r="C315" s="227">
        <v>6.0</v>
      </c>
      <c r="D315" s="223">
        <v>11.0</v>
      </c>
      <c r="E315" s="228" t="s">
        <v>158</v>
      </c>
      <c r="G315" s="222">
        <v>300.0</v>
      </c>
      <c r="H315" s="223">
        <v>366.0</v>
      </c>
      <c r="J315" s="224">
        <f>IFERROR(__xludf.DUMMYFUNCTION("""COMPUTED_VALUE"""),46004.0)</f>
        <v>46004</v>
      </c>
      <c r="K315" s="230">
        <f>IFERROR(__xludf.DUMMYFUNCTION("""COMPUTED_VALUE"""),300.0)</f>
        <v>300</v>
      </c>
      <c r="L315" s="231">
        <f>IFERROR(__xludf.DUMMYFUNCTION("""COMPUTED_VALUE"""),366.0)</f>
        <v>366</v>
      </c>
    </row>
    <row r="316">
      <c r="A316" s="232">
        <v>46004.0</v>
      </c>
      <c r="B316" s="204" t="s">
        <v>64</v>
      </c>
      <c r="C316" s="227">
        <v>17.0</v>
      </c>
      <c r="D316" s="223">
        <v>14.0</v>
      </c>
      <c r="E316" s="228" t="s">
        <v>158</v>
      </c>
      <c r="G316" s="222">
        <v>300.0</v>
      </c>
      <c r="H316" s="223">
        <v>367.0</v>
      </c>
      <c r="J316" s="224">
        <f>IFERROR(__xludf.DUMMYFUNCTION("""COMPUTED_VALUE"""),46004.0)</f>
        <v>46004</v>
      </c>
      <c r="K316" s="230">
        <f>IFERROR(__xludf.DUMMYFUNCTION("""COMPUTED_VALUE"""),300.0)</f>
        <v>300</v>
      </c>
      <c r="L316" s="231">
        <f>IFERROR(__xludf.DUMMYFUNCTION("""COMPUTED_VALUE"""),367.0)</f>
        <v>367</v>
      </c>
    </row>
    <row r="317">
      <c r="A317" s="232">
        <v>46004.0</v>
      </c>
      <c r="B317" s="204" t="s">
        <v>106</v>
      </c>
      <c r="C317" s="227">
        <v>9.0</v>
      </c>
      <c r="D317" s="223">
        <v>7.0</v>
      </c>
      <c r="E317" s="228" t="s">
        <v>158</v>
      </c>
      <c r="G317" s="222">
        <v>300.0</v>
      </c>
      <c r="H317" s="223">
        <v>368.0</v>
      </c>
      <c r="J317" s="224">
        <f>IFERROR(__xludf.DUMMYFUNCTION("""COMPUTED_VALUE"""),46004.0)</f>
        <v>46004</v>
      </c>
      <c r="K317" s="230">
        <f>IFERROR(__xludf.DUMMYFUNCTION("""COMPUTED_VALUE"""),300.0)</f>
        <v>300</v>
      </c>
      <c r="L317" s="231">
        <f>IFERROR(__xludf.DUMMYFUNCTION("""COMPUTED_VALUE"""),368.0)</f>
        <v>368</v>
      </c>
    </row>
    <row r="318">
      <c r="A318" s="232">
        <v>46004.0</v>
      </c>
      <c r="B318" s="204" t="s">
        <v>84</v>
      </c>
      <c r="C318" s="227">
        <v>16.0</v>
      </c>
      <c r="D318" s="223">
        <v>11.0</v>
      </c>
      <c r="E318" s="228" t="s">
        <v>157</v>
      </c>
      <c r="G318" s="222">
        <v>301.0</v>
      </c>
      <c r="H318" s="223">
        <v>368.0</v>
      </c>
      <c r="J318" s="224">
        <f>IFERROR(__xludf.DUMMYFUNCTION("""COMPUTED_VALUE"""),46004.0)</f>
        <v>46004</v>
      </c>
      <c r="K318" s="230">
        <f>IFERROR(__xludf.DUMMYFUNCTION("""COMPUTED_VALUE"""),301.0)</f>
        <v>301</v>
      </c>
      <c r="L318" s="231">
        <f>IFERROR(__xludf.DUMMYFUNCTION("""COMPUTED_VALUE"""),368.0)</f>
        <v>368</v>
      </c>
    </row>
    <row r="319">
      <c r="A319" s="232">
        <v>46004.0</v>
      </c>
      <c r="B319" s="204" t="s">
        <v>3</v>
      </c>
      <c r="C319" s="227">
        <v>13.0</v>
      </c>
      <c r="D319" s="223">
        <v>20.0</v>
      </c>
      <c r="E319" s="228" t="s">
        <v>158</v>
      </c>
      <c r="G319" s="222">
        <v>301.0</v>
      </c>
      <c r="H319" s="223">
        <v>369.0</v>
      </c>
      <c r="J319" s="224">
        <f>IFERROR(__xludf.DUMMYFUNCTION("""COMPUTED_VALUE"""),46004.0)</f>
        <v>46004</v>
      </c>
      <c r="K319" s="230">
        <f>IFERROR(__xludf.DUMMYFUNCTION("""COMPUTED_VALUE"""),301.0)</f>
        <v>301</v>
      </c>
      <c r="L319" s="231">
        <f>IFERROR(__xludf.DUMMYFUNCTION("""COMPUTED_VALUE"""),369.0)</f>
        <v>369</v>
      </c>
    </row>
    <row r="320">
      <c r="A320" s="203">
        <v>46033.0</v>
      </c>
      <c r="B320" s="204" t="s">
        <v>177</v>
      </c>
      <c r="C320" s="227">
        <v>7.0</v>
      </c>
      <c r="D320" s="223">
        <v>20.0</v>
      </c>
      <c r="E320" s="228" t="s">
        <v>158</v>
      </c>
      <c r="G320" s="222">
        <v>301.0</v>
      </c>
      <c r="H320" s="223">
        <v>370.0</v>
      </c>
      <c r="J320" s="224">
        <f>IFERROR(__xludf.DUMMYFUNCTION("""COMPUTED_VALUE"""),46033.0)</f>
        <v>46033</v>
      </c>
      <c r="K320" s="230">
        <f>IFERROR(__xludf.DUMMYFUNCTION("""COMPUTED_VALUE"""),301.0)</f>
        <v>301</v>
      </c>
      <c r="L320" s="231">
        <f>IFERROR(__xludf.DUMMYFUNCTION("""COMPUTED_VALUE"""),370.0)</f>
        <v>370</v>
      </c>
    </row>
    <row r="321">
      <c r="A321" s="203">
        <v>46033.0</v>
      </c>
      <c r="B321" s="204" t="s">
        <v>2</v>
      </c>
      <c r="C321" s="227">
        <v>7.0</v>
      </c>
      <c r="D321" s="223">
        <v>14.0</v>
      </c>
      <c r="E321" s="228" t="s">
        <v>157</v>
      </c>
      <c r="G321" s="222">
        <v>302.0</v>
      </c>
      <c r="H321" s="223">
        <v>370.0</v>
      </c>
      <c r="J321" s="224">
        <f>IFERROR(__xludf.DUMMYFUNCTION("""COMPUTED_VALUE"""),46033.0)</f>
        <v>46033</v>
      </c>
      <c r="K321" s="230">
        <f>IFERROR(__xludf.DUMMYFUNCTION("""COMPUTED_VALUE"""),302.0)</f>
        <v>302</v>
      </c>
      <c r="L321" s="231">
        <f>IFERROR(__xludf.DUMMYFUNCTION("""COMPUTED_VALUE"""),370.0)</f>
        <v>370</v>
      </c>
    </row>
    <row r="322">
      <c r="A322" s="203">
        <v>46033.0</v>
      </c>
      <c r="B322" s="204" t="s">
        <v>3</v>
      </c>
      <c r="C322" s="227">
        <v>13.0</v>
      </c>
      <c r="D322" s="223">
        <v>21.0</v>
      </c>
      <c r="E322" s="228" t="s">
        <v>158</v>
      </c>
      <c r="G322" s="222">
        <v>302.0</v>
      </c>
      <c r="H322" s="223">
        <v>371.0</v>
      </c>
      <c r="J322" s="224">
        <f>IFERROR(__xludf.DUMMYFUNCTION("""COMPUTED_VALUE"""),46033.0)</f>
        <v>46033</v>
      </c>
      <c r="K322" s="230">
        <f>IFERROR(__xludf.DUMMYFUNCTION("""COMPUTED_VALUE"""),302.0)</f>
        <v>302</v>
      </c>
      <c r="L322" s="231">
        <f>IFERROR(__xludf.DUMMYFUNCTION("""COMPUTED_VALUE"""),371.0)</f>
        <v>371</v>
      </c>
    </row>
    <row r="323">
      <c r="A323" s="203">
        <v>46061.0</v>
      </c>
      <c r="B323" s="204" t="s">
        <v>134</v>
      </c>
      <c r="C323" s="227">
        <v>17.0</v>
      </c>
      <c r="D323" s="223">
        <v>6.0</v>
      </c>
      <c r="E323" s="228" t="s">
        <v>158</v>
      </c>
      <c r="G323" s="222">
        <v>302.0</v>
      </c>
      <c r="H323" s="223">
        <v>372.0</v>
      </c>
      <c r="J323" s="224">
        <f>IFERROR(__xludf.DUMMYFUNCTION("""COMPUTED_VALUE"""),46061.0)</f>
        <v>46061</v>
      </c>
      <c r="K323" s="230">
        <f>IFERROR(__xludf.DUMMYFUNCTION("""COMPUTED_VALUE"""),302.0)</f>
        <v>302</v>
      </c>
      <c r="L323" s="231">
        <f>IFERROR(__xludf.DUMMYFUNCTION("""COMPUTED_VALUE"""),372.0)</f>
        <v>372</v>
      </c>
    </row>
    <row r="324">
      <c r="A324" s="203">
        <v>46061.0</v>
      </c>
      <c r="B324" s="204" t="s">
        <v>134</v>
      </c>
      <c r="C324" s="227">
        <v>18.0</v>
      </c>
      <c r="D324" s="223">
        <v>6.0</v>
      </c>
      <c r="E324" s="228" t="s">
        <v>157</v>
      </c>
      <c r="G324" s="222">
        <v>303.0</v>
      </c>
      <c r="H324" s="223">
        <v>372.0</v>
      </c>
      <c r="J324" s="224">
        <f>IFERROR(__xludf.DUMMYFUNCTION("""COMPUTED_VALUE"""),46061.0)</f>
        <v>46061</v>
      </c>
      <c r="K324" s="230">
        <f>IFERROR(__xludf.DUMMYFUNCTION("""COMPUTED_VALUE"""),303.0)</f>
        <v>303</v>
      </c>
      <c r="L324" s="231">
        <f>IFERROR(__xludf.DUMMYFUNCTION("""COMPUTED_VALUE"""),372.0)</f>
        <v>372</v>
      </c>
    </row>
    <row r="325">
      <c r="A325" s="203">
        <v>46061.0</v>
      </c>
      <c r="B325" s="204" t="s">
        <v>3</v>
      </c>
      <c r="C325" s="227">
        <v>13.0</v>
      </c>
      <c r="D325" s="223">
        <v>22.0</v>
      </c>
      <c r="E325" s="228" t="s">
        <v>158</v>
      </c>
      <c r="G325" s="222">
        <v>303.0</v>
      </c>
      <c r="H325" s="223">
        <v>373.0</v>
      </c>
      <c r="J325" s="224">
        <f>IFERROR(__xludf.DUMMYFUNCTION("""COMPUTED_VALUE"""),46061.0)</f>
        <v>46061</v>
      </c>
      <c r="K325" s="230">
        <f>IFERROR(__xludf.DUMMYFUNCTION("""COMPUTED_VALUE"""),303.0)</f>
        <v>303</v>
      </c>
      <c r="L325" s="231">
        <f>IFERROR(__xludf.DUMMYFUNCTION("""COMPUTED_VALUE"""),373.0)</f>
        <v>373</v>
      </c>
    </row>
    <row r="326">
      <c r="A326" s="203">
        <v>46061.0</v>
      </c>
      <c r="B326" s="204" t="s">
        <v>176</v>
      </c>
      <c r="C326" s="227">
        <v>15.0</v>
      </c>
      <c r="D326" s="223">
        <v>16.0</v>
      </c>
      <c r="E326" s="228" t="s">
        <v>158</v>
      </c>
      <c r="G326" s="222">
        <v>303.0</v>
      </c>
      <c r="H326" s="223">
        <v>374.0</v>
      </c>
      <c r="J326" s="224">
        <f>IFERROR(__xludf.DUMMYFUNCTION("""COMPUTED_VALUE"""),46061.0)</f>
        <v>46061</v>
      </c>
      <c r="K326" s="230">
        <f>IFERROR(__xludf.DUMMYFUNCTION("""COMPUTED_VALUE"""),303.0)</f>
        <v>303</v>
      </c>
      <c r="L326" s="231">
        <f>IFERROR(__xludf.DUMMYFUNCTION("""COMPUTED_VALUE"""),374.0)</f>
        <v>374</v>
      </c>
    </row>
    <row r="327">
      <c r="A327" s="203">
        <v>46061.0</v>
      </c>
      <c r="B327" s="204" t="s">
        <v>64</v>
      </c>
      <c r="C327" s="227">
        <v>17.0</v>
      </c>
      <c r="D327" s="223">
        <v>15.0</v>
      </c>
      <c r="E327" s="228" t="s">
        <v>158</v>
      </c>
      <c r="G327" s="222">
        <v>303.0</v>
      </c>
      <c r="H327" s="223">
        <v>375.0</v>
      </c>
      <c r="J327" s="224">
        <f>IFERROR(__xludf.DUMMYFUNCTION("""COMPUTED_VALUE"""),46061.0)</f>
        <v>46061</v>
      </c>
      <c r="K327" s="230">
        <f>IFERROR(__xludf.DUMMYFUNCTION("""COMPUTED_VALUE"""),303.0)</f>
        <v>303</v>
      </c>
      <c r="L327" s="231">
        <f>IFERROR(__xludf.DUMMYFUNCTION("""COMPUTED_VALUE"""),375.0)</f>
        <v>375</v>
      </c>
    </row>
    <row r="328">
      <c r="A328" s="203">
        <v>46089.0</v>
      </c>
      <c r="B328" s="204" t="s">
        <v>2</v>
      </c>
      <c r="C328" s="227">
        <v>8.0</v>
      </c>
      <c r="D328" s="223">
        <v>14.0</v>
      </c>
      <c r="E328" s="228" t="s">
        <v>157</v>
      </c>
      <c r="G328" s="222">
        <v>304.0</v>
      </c>
      <c r="H328" s="223">
        <v>375.0</v>
      </c>
      <c r="J328" s="224">
        <f>IFERROR(__xludf.DUMMYFUNCTION("""COMPUTED_VALUE"""),46089.0)</f>
        <v>46089</v>
      </c>
      <c r="K328" s="230">
        <f>IFERROR(__xludf.DUMMYFUNCTION("""COMPUTED_VALUE"""),304.0)</f>
        <v>304</v>
      </c>
      <c r="L328" s="231">
        <f>IFERROR(__xludf.DUMMYFUNCTION("""COMPUTED_VALUE"""),375.0)</f>
        <v>375</v>
      </c>
    </row>
    <row r="329">
      <c r="A329" s="203">
        <v>46089.0</v>
      </c>
      <c r="B329" s="204" t="s">
        <v>165</v>
      </c>
      <c r="C329" s="227">
        <v>19.0</v>
      </c>
      <c r="D329" s="223">
        <v>32.0</v>
      </c>
      <c r="E329" s="228" t="s">
        <v>157</v>
      </c>
      <c r="G329" s="222">
        <v>305.0</v>
      </c>
      <c r="H329" s="223">
        <v>375.0</v>
      </c>
      <c r="J329" s="224">
        <f>IFERROR(__xludf.DUMMYFUNCTION("""COMPUTED_VALUE"""),46089.0)</f>
        <v>46089</v>
      </c>
      <c r="K329" s="230">
        <f>IFERROR(__xludf.DUMMYFUNCTION("""COMPUTED_VALUE"""),305.0)</f>
        <v>305</v>
      </c>
      <c r="L329" s="231">
        <f>IFERROR(__xludf.DUMMYFUNCTION("""COMPUTED_VALUE"""),375.0)</f>
        <v>375</v>
      </c>
    </row>
    <row r="330">
      <c r="A330" s="203">
        <v>46089.0</v>
      </c>
      <c r="B330" s="204" t="s">
        <v>1</v>
      </c>
      <c r="C330" s="227">
        <v>16.0</v>
      </c>
      <c r="D330" s="223">
        <v>25.0</v>
      </c>
      <c r="E330" s="228" t="s">
        <v>158</v>
      </c>
      <c r="G330" s="222">
        <v>305.0</v>
      </c>
      <c r="H330" s="223">
        <v>376.0</v>
      </c>
      <c r="J330" s="224">
        <f>IFERROR(__xludf.DUMMYFUNCTION("""COMPUTED_VALUE"""),46089.0)</f>
        <v>46089</v>
      </c>
      <c r="K330" s="230">
        <f>IFERROR(__xludf.DUMMYFUNCTION("""COMPUTED_VALUE"""),305.0)</f>
        <v>305</v>
      </c>
      <c r="L330" s="231">
        <f>IFERROR(__xludf.DUMMYFUNCTION("""COMPUTED_VALUE"""),376.0)</f>
        <v>376</v>
      </c>
    </row>
    <row r="331">
      <c r="A331" s="203">
        <v>46089.0</v>
      </c>
      <c r="B331" s="204" t="s">
        <v>38</v>
      </c>
      <c r="C331" s="227">
        <v>8.0</v>
      </c>
      <c r="D331" s="223">
        <v>12.0</v>
      </c>
      <c r="E331" s="228" t="s">
        <v>158</v>
      </c>
      <c r="G331" s="222">
        <v>305.0</v>
      </c>
      <c r="H331" s="223">
        <v>377.0</v>
      </c>
      <c r="J331" s="224">
        <f>IFERROR(__xludf.DUMMYFUNCTION("""COMPUTED_VALUE"""),46089.0)</f>
        <v>46089</v>
      </c>
      <c r="K331" s="230">
        <f>IFERROR(__xludf.DUMMYFUNCTION("""COMPUTED_VALUE"""),305.0)</f>
        <v>305</v>
      </c>
      <c r="L331" s="231">
        <f>IFERROR(__xludf.DUMMYFUNCTION("""COMPUTED_VALUE"""),377.0)</f>
        <v>377</v>
      </c>
    </row>
    <row r="332">
      <c r="A332" s="203">
        <v>46089.0</v>
      </c>
      <c r="B332" s="204" t="s">
        <v>106</v>
      </c>
      <c r="C332" s="227">
        <v>10.0</v>
      </c>
      <c r="D332" s="223">
        <v>7.0</v>
      </c>
      <c r="E332" s="228" t="s">
        <v>157</v>
      </c>
      <c r="G332" s="222">
        <v>306.0</v>
      </c>
      <c r="H332" s="223">
        <v>377.0</v>
      </c>
      <c r="J332" s="224">
        <f>IFERROR(__xludf.DUMMYFUNCTION("""COMPUTED_VALUE"""),46089.0)</f>
        <v>46089</v>
      </c>
      <c r="K332" s="230">
        <f>IFERROR(__xludf.DUMMYFUNCTION("""COMPUTED_VALUE"""),306.0)</f>
        <v>306</v>
      </c>
      <c r="L332" s="231">
        <f>IFERROR(__xludf.DUMMYFUNCTION("""COMPUTED_VALUE"""),377.0)</f>
        <v>377</v>
      </c>
    </row>
    <row r="333">
      <c r="A333" s="203">
        <v>46089.0</v>
      </c>
      <c r="B333" s="204" t="s">
        <v>67</v>
      </c>
      <c r="C333" s="227">
        <v>16.0</v>
      </c>
      <c r="D333" s="223">
        <v>29.0</v>
      </c>
      <c r="E333" s="228" t="s">
        <v>157</v>
      </c>
      <c r="G333" s="222">
        <v>307.0</v>
      </c>
      <c r="H333" s="223">
        <v>377.0</v>
      </c>
      <c r="J333" s="224">
        <f>IFERROR(__xludf.DUMMYFUNCTION("""COMPUTED_VALUE"""),46089.0)</f>
        <v>46089</v>
      </c>
      <c r="K333" s="230">
        <f>IFERROR(__xludf.DUMMYFUNCTION("""COMPUTED_VALUE"""),307.0)</f>
        <v>307</v>
      </c>
      <c r="L333" s="231">
        <f>IFERROR(__xludf.DUMMYFUNCTION("""COMPUTED_VALUE"""),377.0)</f>
        <v>377</v>
      </c>
    </row>
    <row r="334">
      <c r="A334" s="203">
        <v>46089.0</v>
      </c>
      <c r="B334" s="204" t="s">
        <v>115</v>
      </c>
      <c r="C334" s="227">
        <v>9.0</v>
      </c>
      <c r="D334" s="223">
        <v>18.0</v>
      </c>
      <c r="E334" s="228" t="s">
        <v>158</v>
      </c>
      <c r="G334" s="222">
        <v>307.0</v>
      </c>
      <c r="H334" s="223">
        <v>378.0</v>
      </c>
      <c r="J334" s="224">
        <f>IFERROR(__xludf.DUMMYFUNCTION("""COMPUTED_VALUE"""),46089.0)</f>
        <v>46089</v>
      </c>
      <c r="K334" s="230">
        <f>IFERROR(__xludf.DUMMYFUNCTION("""COMPUTED_VALUE"""),307.0)</f>
        <v>307</v>
      </c>
      <c r="L334" s="231">
        <f>IFERROR(__xludf.DUMMYFUNCTION("""COMPUTED_VALUE"""),378.0)</f>
        <v>378</v>
      </c>
    </row>
    <row r="335">
      <c r="A335" s="203">
        <v>46089.0</v>
      </c>
      <c r="B335" s="204" t="s">
        <v>115</v>
      </c>
      <c r="C335" s="227">
        <v>9.0</v>
      </c>
      <c r="D335" s="223">
        <v>19.0</v>
      </c>
      <c r="E335" s="228" t="s">
        <v>158</v>
      </c>
      <c r="G335" s="222">
        <v>307.0</v>
      </c>
      <c r="H335" s="223">
        <v>379.0</v>
      </c>
      <c r="J335" s="224">
        <f>IFERROR(__xludf.DUMMYFUNCTION("""COMPUTED_VALUE"""),46089.0)</f>
        <v>46089</v>
      </c>
      <c r="K335" s="230">
        <f>IFERROR(__xludf.DUMMYFUNCTION("""COMPUTED_VALUE"""),307.0)</f>
        <v>307</v>
      </c>
      <c r="L335" s="231">
        <f>IFERROR(__xludf.DUMMYFUNCTION("""COMPUTED_VALUE"""),379.0)</f>
        <v>379</v>
      </c>
    </row>
    <row r="336">
      <c r="A336" s="203">
        <v>46116.0</v>
      </c>
      <c r="B336" s="204" t="s">
        <v>186</v>
      </c>
      <c r="C336" s="227">
        <v>15.0</v>
      </c>
      <c r="D336" s="223">
        <v>7.0</v>
      </c>
      <c r="E336" s="228" t="s">
        <v>158</v>
      </c>
      <c r="G336" s="222">
        <v>307.0</v>
      </c>
      <c r="H336" s="223">
        <v>380.0</v>
      </c>
      <c r="J336" s="224">
        <f>IFERROR(__xludf.DUMMYFUNCTION("""COMPUTED_VALUE"""),46116.0)</f>
        <v>46116</v>
      </c>
      <c r="K336" s="230">
        <f>IFERROR(__xludf.DUMMYFUNCTION("""COMPUTED_VALUE"""),307.0)</f>
        <v>307</v>
      </c>
      <c r="L336" s="231">
        <f>IFERROR(__xludf.DUMMYFUNCTION("""COMPUTED_VALUE"""),380.0)</f>
        <v>380</v>
      </c>
    </row>
    <row r="337">
      <c r="A337" s="203">
        <v>46116.0</v>
      </c>
      <c r="B337" s="204" t="s">
        <v>38</v>
      </c>
      <c r="C337" s="227">
        <v>9.0</v>
      </c>
      <c r="D337" s="223">
        <v>12.0</v>
      </c>
      <c r="E337" s="228" t="s">
        <v>157</v>
      </c>
      <c r="G337" s="222">
        <v>308.0</v>
      </c>
      <c r="H337" s="223">
        <v>380.0</v>
      </c>
      <c r="J337" s="224">
        <f>IFERROR(__xludf.DUMMYFUNCTION("""COMPUTED_VALUE"""),46116.0)</f>
        <v>46116</v>
      </c>
      <c r="K337" s="230">
        <f>IFERROR(__xludf.DUMMYFUNCTION("""COMPUTED_VALUE"""),308.0)</f>
        <v>308</v>
      </c>
      <c r="L337" s="231">
        <f>IFERROR(__xludf.DUMMYFUNCTION("""COMPUTED_VALUE"""),380.0)</f>
        <v>380</v>
      </c>
    </row>
    <row r="338">
      <c r="A338" s="203">
        <v>46116.0</v>
      </c>
      <c r="B338" s="204" t="s">
        <v>165</v>
      </c>
      <c r="C338" s="227">
        <v>19.0</v>
      </c>
      <c r="D338" s="223">
        <v>33.0</v>
      </c>
      <c r="E338" s="228" t="s">
        <v>158</v>
      </c>
      <c r="G338" s="222">
        <v>308.0</v>
      </c>
      <c r="H338" s="223">
        <v>381.0</v>
      </c>
      <c r="J338" s="224">
        <f>IFERROR(__xludf.DUMMYFUNCTION("""COMPUTED_VALUE"""),46116.0)</f>
        <v>46116</v>
      </c>
      <c r="K338" s="230">
        <f>IFERROR(__xludf.DUMMYFUNCTION("""COMPUTED_VALUE"""),308.0)</f>
        <v>308</v>
      </c>
      <c r="L338" s="231">
        <f>IFERROR(__xludf.DUMMYFUNCTION("""COMPUTED_VALUE"""),381.0)</f>
        <v>381</v>
      </c>
    </row>
    <row r="339">
      <c r="A339" s="203">
        <v>46116.0</v>
      </c>
      <c r="B339" s="204" t="s">
        <v>67</v>
      </c>
      <c r="C339" s="227">
        <v>16.0</v>
      </c>
      <c r="D339" s="223">
        <v>30.0</v>
      </c>
      <c r="E339" s="228" t="s">
        <v>158</v>
      </c>
      <c r="G339" s="222">
        <v>308.0</v>
      </c>
      <c r="H339" s="223">
        <v>382.0</v>
      </c>
      <c r="J339" s="224">
        <f>IFERROR(__xludf.DUMMYFUNCTION("""COMPUTED_VALUE"""),46116.0)</f>
        <v>46116</v>
      </c>
      <c r="K339" s="230">
        <f>IFERROR(__xludf.DUMMYFUNCTION("""COMPUTED_VALUE"""),308.0)</f>
        <v>308</v>
      </c>
      <c r="L339" s="231">
        <f>IFERROR(__xludf.DUMMYFUNCTION("""COMPUTED_VALUE"""),382.0)</f>
        <v>382</v>
      </c>
    </row>
    <row r="340">
      <c r="A340" s="203">
        <v>46116.0</v>
      </c>
      <c r="B340" s="204" t="s">
        <v>2</v>
      </c>
      <c r="C340" s="227">
        <v>8.0</v>
      </c>
      <c r="D340" s="223">
        <v>15.0</v>
      </c>
      <c r="E340" s="228" t="s">
        <v>158</v>
      </c>
      <c r="G340" s="222">
        <v>308.0</v>
      </c>
      <c r="H340" s="223">
        <v>383.0</v>
      </c>
      <c r="J340" s="224">
        <f>IFERROR(__xludf.DUMMYFUNCTION("""COMPUTED_VALUE"""),46116.0)</f>
        <v>46116</v>
      </c>
      <c r="K340" s="230">
        <f>IFERROR(__xludf.DUMMYFUNCTION("""COMPUTED_VALUE"""),308.0)</f>
        <v>308</v>
      </c>
      <c r="L340" s="231">
        <f>IFERROR(__xludf.DUMMYFUNCTION("""COMPUTED_VALUE"""),383.0)</f>
        <v>383</v>
      </c>
    </row>
    <row r="341">
      <c r="A341" s="203">
        <v>46116.0</v>
      </c>
      <c r="B341" s="204" t="s">
        <v>67</v>
      </c>
      <c r="C341" s="227">
        <v>16.0</v>
      </c>
      <c r="D341" s="223">
        <v>31.0</v>
      </c>
      <c r="E341" s="228" t="s">
        <v>158</v>
      </c>
      <c r="G341" s="222">
        <v>308.0</v>
      </c>
      <c r="H341" s="223">
        <v>384.0</v>
      </c>
      <c r="J341" s="224">
        <f>IFERROR(__xludf.DUMMYFUNCTION("""COMPUTED_VALUE"""),46116.0)</f>
        <v>46116</v>
      </c>
      <c r="K341" s="230">
        <f>IFERROR(__xludf.DUMMYFUNCTION("""COMPUTED_VALUE"""),308.0)</f>
        <v>308</v>
      </c>
      <c r="L341" s="231">
        <f>IFERROR(__xludf.DUMMYFUNCTION("""COMPUTED_VALUE"""),384.0)</f>
        <v>384</v>
      </c>
    </row>
    <row r="342">
      <c r="A342" s="203">
        <v>46118.0</v>
      </c>
      <c r="B342" s="204" t="s">
        <v>107</v>
      </c>
      <c r="C342" s="227">
        <v>13.0</v>
      </c>
      <c r="D342" s="223">
        <v>26.0</v>
      </c>
      <c r="E342" s="228" t="s">
        <v>158</v>
      </c>
      <c r="G342" s="222">
        <v>308.0</v>
      </c>
      <c r="H342" s="223">
        <v>385.0</v>
      </c>
      <c r="J342" s="224">
        <f>IFERROR(__xludf.DUMMYFUNCTION("""COMPUTED_VALUE"""),46118.0)</f>
        <v>46118</v>
      </c>
      <c r="K342" s="230">
        <f>IFERROR(__xludf.DUMMYFUNCTION("""COMPUTED_VALUE"""),308.0)</f>
        <v>308</v>
      </c>
      <c r="L342" s="231">
        <f>IFERROR(__xludf.DUMMYFUNCTION("""COMPUTED_VALUE"""),385.0)</f>
        <v>385</v>
      </c>
    </row>
    <row r="343">
      <c r="A343" s="203">
        <v>46118.0</v>
      </c>
      <c r="B343" s="204" t="s">
        <v>115</v>
      </c>
      <c r="C343" s="227">
        <v>9.0</v>
      </c>
      <c r="D343" s="223">
        <v>20.0</v>
      </c>
      <c r="E343" s="228" t="s">
        <v>158</v>
      </c>
      <c r="G343" s="222">
        <v>308.0</v>
      </c>
      <c r="H343" s="223">
        <v>386.0</v>
      </c>
      <c r="J343" s="224">
        <f>IFERROR(__xludf.DUMMYFUNCTION("""COMPUTED_VALUE"""),46118.0)</f>
        <v>46118</v>
      </c>
      <c r="K343" s="230">
        <f>IFERROR(__xludf.DUMMYFUNCTION("""COMPUTED_VALUE"""),308.0)</f>
        <v>308</v>
      </c>
      <c r="L343" s="231">
        <f>IFERROR(__xludf.DUMMYFUNCTION("""COMPUTED_VALUE"""),386.0)</f>
        <v>386</v>
      </c>
    </row>
    <row r="344">
      <c r="A344" s="203">
        <v>46118.0</v>
      </c>
      <c r="B344" s="204" t="s">
        <v>172</v>
      </c>
      <c r="C344" s="227">
        <v>15.0</v>
      </c>
      <c r="D344" s="223">
        <v>24.0</v>
      </c>
      <c r="E344" s="228" t="s">
        <v>158</v>
      </c>
      <c r="G344" s="222">
        <v>308.0</v>
      </c>
      <c r="H344" s="223">
        <v>387.0</v>
      </c>
      <c r="J344" s="224">
        <f>IFERROR(__xludf.DUMMYFUNCTION("""COMPUTED_VALUE"""),46118.0)</f>
        <v>46118</v>
      </c>
      <c r="K344" s="230">
        <f>IFERROR(__xludf.DUMMYFUNCTION("""COMPUTED_VALUE"""),308.0)</f>
        <v>308</v>
      </c>
      <c r="L344" s="231">
        <f>IFERROR(__xludf.DUMMYFUNCTION("""COMPUTED_VALUE"""),387.0)</f>
        <v>387</v>
      </c>
    </row>
    <row r="345">
      <c r="A345" s="203">
        <v>46118.0</v>
      </c>
      <c r="B345" s="204" t="s">
        <v>107</v>
      </c>
      <c r="C345" s="227">
        <v>13.0</v>
      </c>
      <c r="D345" s="223">
        <v>27.0</v>
      </c>
      <c r="E345" s="228" t="s">
        <v>158</v>
      </c>
      <c r="G345" s="222">
        <v>308.0</v>
      </c>
      <c r="H345" s="223">
        <v>388.0</v>
      </c>
      <c r="J345" s="224">
        <f>IFERROR(__xludf.DUMMYFUNCTION("""COMPUTED_VALUE"""),46118.0)</f>
        <v>46118</v>
      </c>
      <c r="K345" s="230">
        <f>IFERROR(__xludf.DUMMYFUNCTION("""COMPUTED_VALUE"""),308.0)</f>
        <v>308</v>
      </c>
      <c r="L345" s="231">
        <f>IFERROR(__xludf.DUMMYFUNCTION("""COMPUTED_VALUE"""),388.0)</f>
        <v>388</v>
      </c>
    </row>
    <row r="346">
      <c r="A346" s="203">
        <v>46156.0</v>
      </c>
      <c r="B346" s="204" t="s">
        <v>1</v>
      </c>
      <c r="C346" s="227">
        <v>16.0</v>
      </c>
      <c r="D346" s="223">
        <v>26.0</v>
      </c>
      <c r="E346" s="228" t="s">
        <v>158</v>
      </c>
      <c r="G346" s="222">
        <v>308.0</v>
      </c>
      <c r="H346" s="223">
        <v>389.0</v>
      </c>
      <c r="J346" s="224">
        <f>IFERROR(__xludf.DUMMYFUNCTION("""COMPUTED_VALUE"""),46156.0)</f>
        <v>46156</v>
      </c>
      <c r="K346" s="230">
        <f>IFERROR(__xludf.DUMMYFUNCTION("""COMPUTED_VALUE"""),308.0)</f>
        <v>308</v>
      </c>
      <c r="L346" s="231">
        <f>IFERROR(__xludf.DUMMYFUNCTION("""COMPUTED_VALUE"""),389.0)</f>
        <v>389</v>
      </c>
    </row>
    <row r="347">
      <c r="A347" s="203">
        <v>46156.0</v>
      </c>
      <c r="B347" s="204" t="s">
        <v>179</v>
      </c>
      <c r="C347" s="227">
        <v>12.0</v>
      </c>
      <c r="D347" s="223">
        <v>14.0</v>
      </c>
      <c r="E347" s="228" t="s">
        <v>157</v>
      </c>
      <c r="G347" s="222">
        <v>309.0</v>
      </c>
      <c r="H347" s="223">
        <v>389.0</v>
      </c>
      <c r="J347" s="224">
        <f>IFERROR(__xludf.DUMMYFUNCTION("""COMPUTED_VALUE"""),46156.0)</f>
        <v>46156</v>
      </c>
      <c r="K347" s="230">
        <f>IFERROR(__xludf.DUMMYFUNCTION("""COMPUTED_VALUE"""),309.0)</f>
        <v>309</v>
      </c>
      <c r="L347" s="231">
        <f>IFERROR(__xludf.DUMMYFUNCTION("""COMPUTED_VALUE"""),389.0)</f>
        <v>389</v>
      </c>
    </row>
    <row r="348">
      <c r="A348" s="203">
        <v>46156.0</v>
      </c>
      <c r="B348" s="204" t="s">
        <v>172</v>
      </c>
      <c r="C348" s="227">
        <v>15.0</v>
      </c>
      <c r="D348" s="223">
        <v>25.0</v>
      </c>
      <c r="E348" s="228" t="s">
        <v>158</v>
      </c>
      <c r="G348" s="222">
        <v>309.0</v>
      </c>
      <c r="H348" s="223">
        <v>390.0</v>
      </c>
      <c r="J348" s="224">
        <f>IFERROR(__xludf.DUMMYFUNCTION("""COMPUTED_VALUE"""),46156.0)</f>
        <v>46156</v>
      </c>
      <c r="K348" s="230">
        <f>IFERROR(__xludf.DUMMYFUNCTION("""COMPUTED_VALUE"""),309.0)</f>
        <v>309</v>
      </c>
      <c r="L348" s="231">
        <f>IFERROR(__xludf.DUMMYFUNCTION("""COMPUTED_VALUE"""),390.0)</f>
        <v>390</v>
      </c>
    </row>
    <row r="349">
      <c r="A349" s="203">
        <v>46156.0</v>
      </c>
      <c r="B349" s="204" t="s">
        <v>175</v>
      </c>
      <c r="C349" s="227">
        <v>15.0</v>
      </c>
      <c r="D349" s="223">
        <v>21.0</v>
      </c>
      <c r="E349" s="228" t="s">
        <v>158</v>
      </c>
      <c r="G349" s="222">
        <v>309.0</v>
      </c>
      <c r="H349" s="223">
        <v>391.0</v>
      </c>
      <c r="J349" s="224">
        <f>IFERROR(__xludf.DUMMYFUNCTION("""COMPUTED_VALUE"""),46156.0)</f>
        <v>46156</v>
      </c>
      <c r="K349" s="230">
        <f>IFERROR(__xludf.DUMMYFUNCTION("""COMPUTED_VALUE"""),309.0)</f>
        <v>309</v>
      </c>
      <c r="L349" s="231">
        <f>IFERROR(__xludf.DUMMYFUNCTION("""COMPUTED_VALUE"""),391.0)</f>
        <v>391</v>
      </c>
    </row>
    <row r="350">
      <c r="A350" s="203">
        <v>46156.0</v>
      </c>
      <c r="B350" s="204" t="s">
        <v>175</v>
      </c>
      <c r="C350" s="227">
        <v>15.0</v>
      </c>
      <c r="D350" s="223">
        <v>22.0</v>
      </c>
      <c r="E350" s="228" t="s">
        <v>158</v>
      </c>
      <c r="G350" s="222">
        <v>309.0</v>
      </c>
      <c r="H350" s="223">
        <v>392.0</v>
      </c>
      <c r="J350" s="224">
        <f>IFERROR(__xludf.DUMMYFUNCTION("""COMPUTED_VALUE"""),46156.0)</f>
        <v>46156</v>
      </c>
      <c r="K350" s="230">
        <f>IFERROR(__xludf.DUMMYFUNCTION("""COMPUTED_VALUE"""),309.0)</f>
        <v>309</v>
      </c>
      <c r="L350" s="231">
        <f>IFERROR(__xludf.DUMMYFUNCTION("""COMPUTED_VALUE"""),392.0)</f>
        <v>392</v>
      </c>
    </row>
    <row r="351">
      <c r="A351" s="203">
        <v>46156.0</v>
      </c>
      <c r="B351" s="204" t="s">
        <v>165</v>
      </c>
      <c r="C351" s="227">
        <v>20.0</v>
      </c>
      <c r="D351" s="223">
        <v>33.0</v>
      </c>
      <c r="E351" s="228" t="s">
        <v>157</v>
      </c>
      <c r="G351" s="222">
        <v>310.0</v>
      </c>
      <c r="H351" s="223">
        <v>392.0</v>
      </c>
      <c r="J351" s="224">
        <f>IFERROR(__xludf.DUMMYFUNCTION("""COMPUTED_VALUE"""),46156.0)</f>
        <v>46156</v>
      </c>
      <c r="K351" s="230">
        <f>IFERROR(__xludf.DUMMYFUNCTION("""COMPUTED_VALUE"""),310.0)</f>
        <v>310</v>
      </c>
      <c r="L351" s="231">
        <f>IFERROR(__xludf.DUMMYFUNCTION("""COMPUTED_VALUE"""),392.0)</f>
        <v>392</v>
      </c>
    </row>
    <row r="352">
      <c r="A352" s="203">
        <v>46156.0</v>
      </c>
      <c r="B352" s="204" t="s">
        <v>115</v>
      </c>
      <c r="C352" s="227">
        <v>10.0</v>
      </c>
      <c r="D352" s="223">
        <v>20.0</v>
      </c>
      <c r="E352" s="228" t="s">
        <v>157</v>
      </c>
      <c r="G352" s="222">
        <v>311.0</v>
      </c>
      <c r="H352" s="223">
        <v>392.0</v>
      </c>
      <c r="J352" s="224">
        <f>IFERROR(__xludf.DUMMYFUNCTION("""COMPUTED_VALUE"""),46156.0)</f>
        <v>46156</v>
      </c>
      <c r="K352" s="230">
        <f>IFERROR(__xludf.DUMMYFUNCTION("""COMPUTED_VALUE"""),311.0)</f>
        <v>311</v>
      </c>
      <c r="L352" s="231">
        <f>IFERROR(__xludf.DUMMYFUNCTION("""COMPUTED_VALUE"""),392.0)</f>
        <v>392</v>
      </c>
    </row>
    <row r="353">
      <c r="A353" s="203">
        <v>46156.0</v>
      </c>
      <c r="B353" s="204" t="s">
        <v>180</v>
      </c>
      <c r="C353" s="227">
        <v>13.0</v>
      </c>
      <c r="D353" s="223">
        <v>11.0</v>
      </c>
      <c r="E353" s="228" t="s">
        <v>157</v>
      </c>
      <c r="G353" s="222">
        <v>312.0</v>
      </c>
      <c r="H353" s="223">
        <v>392.0</v>
      </c>
      <c r="J353" s="224">
        <f>IFERROR(__xludf.DUMMYFUNCTION("""COMPUTED_VALUE"""),46156.0)</f>
        <v>46156</v>
      </c>
      <c r="K353" s="230">
        <f>IFERROR(__xludf.DUMMYFUNCTION("""COMPUTED_VALUE"""),312.0)</f>
        <v>312</v>
      </c>
      <c r="L353" s="231">
        <f>IFERROR(__xludf.DUMMYFUNCTION("""COMPUTED_VALUE"""),392.0)</f>
        <v>392</v>
      </c>
    </row>
    <row r="354">
      <c r="A354" s="203">
        <v>46157.0</v>
      </c>
      <c r="B354" s="204" t="s">
        <v>114</v>
      </c>
      <c r="C354" s="227">
        <v>0.0</v>
      </c>
      <c r="D354" s="223">
        <v>0.0</v>
      </c>
      <c r="E354" s="228" t="s">
        <v>157</v>
      </c>
      <c r="G354" s="222">
        <v>297.0</v>
      </c>
      <c r="H354" s="223">
        <v>385.0</v>
      </c>
      <c r="J354" s="224">
        <f>IFERROR(__xludf.DUMMYFUNCTION("""COMPUTED_VALUE"""),46157.0)</f>
        <v>46157</v>
      </c>
      <c r="K354" s="230">
        <f>IFERROR(__xludf.DUMMYFUNCTION("""COMPUTED_VALUE"""),297.0)</f>
        <v>297</v>
      </c>
      <c r="L354" s="231">
        <f>IFERROR(__xludf.DUMMYFUNCTION("""COMPUTED_VALUE"""),385.0)</f>
        <v>385</v>
      </c>
    </row>
    <row r="355">
      <c r="A355" s="203">
        <v>46166.0</v>
      </c>
      <c r="B355" s="204" t="s">
        <v>114</v>
      </c>
      <c r="C355" s="227">
        <v>1.0</v>
      </c>
      <c r="D355" s="223">
        <v>0.0</v>
      </c>
      <c r="E355" s="228" t="s">
        <v>157</v>
      </c>
      <c r="G355" s="222">
        <v>298.0</v>
      </c>
      <c r="H355" s="223">
        <v>386.0</v>
      </c>
      <c r="J355" s="224">
        <f>IFERROR(__xludf.DUMMYFUNCTION("""COMPUTED_VALUE"""),46166.0)</f>
        <v>46166</v>
      </c>
      <c r="K355" s="230">
        <f>IFERROR(__xludf.DUMMYFUNCTION("""COMPUTED_VALUE"""),298.0)</f>
        <v>298</v>
      </c>
      <c r="L355" s="231">
        <f>IFERROR(__xludf.DUMMYFUNCTION("""COMPUTED_VALUE"""),386.0)</f>
        <v>386</v>
      </c>
    </row>
    <row r="356">
      <c r="A356" s="203">
        <v>46166.0</v>
      </c>
      <c r="B356" s="204" t="s">
        <v>67</v>
      </c>
      <c r="C356" s="227">
        <v>17.0</v>
      </c>
      <c r="D356" s="223">
        <v>31.0</v>
      </c>
      <c r="E356" s="228" t="s">
        <v>157</v>
      </c>
      <c r="G356" s="222">
        <v>299.0</v>
      </c>
      <c r="H356" s="223">
        <v>386.0</v>
      </c>
      <c r="J356" s="224">
        <f>IFERROR(__xludf.DUMMYFUNCTION("""COMPUTED_VALUE"""),46166.0)</f>
        <v>46166</v>
      </c>
      <c r="K356" s="230">
        <f>IFERROR(__xludf.DUMMYFUNCTION("""COMPUTED_VALUE"""),299.0)</f>
        <v>299</v>
      </c>
      <c r="L356" s="231">
        <f>IFERROR(__xludf.DUMMYFUNCTION("""COMPUTED_VALUE"""),386.0)</f>
        <v>386</v>
      </c>
    </row>
    <row r="357">
      <c r="A357" s="233"/>
      <c r="B357" s="206"/>
      <c r="C357" s="205"/>
      <c r="D357" s="206"/>
      <c r="E357" s="207"/>
      <c r="G357" s="234"/>
      <c r="H357" s="206"/>
      <c r="J357" s="224"/>
      <c r="K357" s="230"/>
      <c r="L357" s="231"/>
    </row>
    <row r="358">
      <c r="A358" s="233"/>
      <c r="B358" s="206"/>
      <c r="C358" s="205"/>
      <c r="D358" s="206"/>
      <c r="E358" s="207"/>
      <c r="G358" s="234"/>
      <c r="H358" s="206"/>
      <c r="J358" s="224"/>
      <c r="K358" s="230"/>
      <c r="L358" s="231"/>
    </row>
    <row r="359">
      <c r="A359" s="233"/>
      <c r="B359" s="206"/>
      <c r="C359" s="205"/>
      <c r="D359" s="206"/>
      <c r="E359" s="207"/>
      <c r="G359" s="234"/>
      <c r="H359" s="206"/>
      <c r="J359" s="224"/>
      <c r="K359" s="230"/>
      <c r="L359" s="231"/>
    </row>
    <row r="360">
      <c r="A360" s="233"/>
      <c r="B360" s="206"/>
      <c r="C360" s="205"/>
      <c r="D360" s="206"/>
      <c r="E360" s="207"/>
      <c r="G360" s="234"/>
      <c r="H360" s="206"/>
      <c r="J360" s="224"/>
      <c r="K360" s="230"/>
      <c r="L360" s="231"/>
    </row>
    <row r="361">
      <c r="A361" s="233"/>
      <c r="B361" s="206"/>
      <c r="C361" s="205"/>
      <c r="D361" s="206"/>
      <c r="E361" s="207"/>
      <c r="G361" s="234"/>
      <c r="H361" s="206"/>
      <c r="J361" s="224"/>
      <c r="K361" s="230"/>
      <c r="L361" s="231"/>
    </row>
    <row r="362">
      <c r="A362" s="233"/>
      <c r="B362" s="206"/>
      <c r="C362" s="205"/>
      <c r="D362" s="206"/>
      <c r="E362" s="207"/>
      <c r="G362" s="234"/>
      <c r="H362" s="206"/>
      <c r="J362" s="224"/>
      <c r="K362" s="230"/>
      <c r="L362" s="231"/>
    </row>
    <row r="363">
      <c r="A363" s="233"/>
      <c r="B363" s="206"/>
      <c r="C363" s="205"/>
      <c r="D363" s="206"/>
      <c r="E363" s="207"/>
      <c r="G363" s="234"/>
      <c r="H363" s="206"/>
      <c r="J363" s="224"/>
      <c r="K363" s="230"/>
      <c r="L363" s="231"/>
    </row>
    <row r="364">
      <c r="A364" s="233"/>
      <c r="B364" s="206"/>
      <c r="C364" s="205"/>
      <c r="D364" s="206"/>
      <c r="E364" s="207"/>
      <c r="G364" s="234"/>
      <c r="H364" s="206"/>
      <c r="J364" s="224"/>
      <c r="K364" s="230"/>
      <c r="L364" s="231"/>
    </row>
    <row r="365">
      <c r="A365" s="233"/>
      <c r="B365" s="206"/>
      <c r="C365" s="205"/>
      <c r="D365" s="206"/>
      <c r="E365" s="207"/>
      <c r="G365" s="234"/>
      <c r="H365" s="206"/>
      <c r="J365" s="224"/>
      <c r="K365" s="230"/>
      <c r="L365" s="231"/>
    </row>
    <row r="366">
      <c r="A366" s="233"/>
      <c r="B366" s="206"/>
      <c r="C366" s="205"/>
      <c r="D366" s="206"/>
      <c r="E366" s="207"/>
      <c r="G366" s="234"/>
      <c r="H366" s="206"/>
      <c r="J366" s="224"/>
      <c r="K366" s="230"/>
      <c r="L366" s="231"/>
    </row>
    <row r="367">
      <c r="A367" s="233"/>
      <c r="B367" s="206"/>
      <c r="C367" s="205"/>
      <c r="D367" s="206"/>
      <c r="E367" s="207"/>
      <c r="G367" s="234"/>
      <c r="H367" s="206"/>
      <c r="J367" s="224"/>
      <c r="K367" s="230"/>
      <c r="L367" s="231"/>
    </row>
    <row r="368">
      <c r="A368" s="233"/>
      <c r="B368" s="206"/>
      <c r="C368" s="205"/>
      <c r="D368" s="206"/>
      <c r="E368" s="207"/>
      <c r="G368" s="234"/>
      <c r="H368" s="206"/>
      <c r="J368" s="224"/>
      <c r="K368" s="230"/>
      <c r="L368" s="231"/>
    </row>
    <row r="369">
      <c r="A369" s="233"/>
      <c r="B369" s="206"/>
      <c r="C369" s="205"/>
      <c r="D369" s="206"/>
      <c r="E369" s="207"/>
      <c r="G369" s="234"/>
      <c r="H369" s="206"/>
      <c r="J369" s="224"/>
      <c r="K369" s="230"/>
      <c r="L369" s="231"/>
    </row>
    <row r="370">
      <c r="A370" s="233"/>
      <c r="B370" s="206"/>
      <c r="C370" s="205"/>
      <c r="D370" s="206"/>
      <c r="E370" s="207"/>
      <c r="G370" s="234"/>
      <c r="H370" s="206"/>
      <c r="J370" s="224"/>
      <c r="K370" s="230"/>
      <c r="L370" s="231"/>
    </row>
    <row r="371">
      <c r="A371" s="233"/>
      <c r="B371" s="206"/>
      <c r="C371" s="205"/>
      <c r="D371" s="206"/>
      <c r="E371" s="207"/>
      <c r="G371" s="234"/>
      <c r="H371" s="206"/>
      <c r="J371" s="224"/>
      <c r="K371" s="230"/>
      <c r="L371" s="231"/>
    </row>
    <row r="372">
      <c r="A372" s="233"/>
      <c r="B372" s="206"/>
      <c r="C372" s="205"/>
      <c r="D372" s="206"/>
      <c r="E372" s="207"/>
      <c r="G372" s="234"/>
      <c r="H372" s="206"/>
      <c r="J372" s="224"/>
      <c r="K372" s="230"/>
      <c r="L372" s="231"/>
    </row>
    <row r="373">
      <c r="A373" s="233"/>
      <c r="B373" s="206"/>
      <c r="C373" s="205"/>
      <c r="D373" s="206"/>
      <c r="E373" s="207"/>
      <c r="G373" s="234"/>
      <c r="H373" s="206"/>
      <c r="J373" s="224"/>
      <c r="K373" s="230"/>
      <c r="L373" s="231"/>
    </row>
    <row r="374">
      <c r="A374" s="233"/>
      <c r="B374" s="206"/>
      <c r="C374" s="205"/>
      <c r="D374" s="206"/>
      <c r="E374" s="207"/>
      <c r="G374" s="234"/>
      <c r="H374" s="206"/>
      <c r="J374" s="224"/>
      <c r="K374" s="230"/>
      <c r="L374" s="231"/>
    </row>
    <row r="375">
      <c r="A375" s="233"/>
      <c r="B375" s="206"/>
      <c r="C375" s="205"/>
      <c r="D375" s="206"/>
      <c r="E375" s="207"/>
      <c r="G375" s="234"/>
      <c r="H375" s="206"/>
      <c r="J375" s="224"/>
      <c r="K375" s="230"/>
      <c r="L375" s="231"/>
    </row>
    <row r="376">
      <c r="A376" s="233"/>
      <c r="B376" s="206"/>
      <c r="C376" s="205"/>
      <c r="D376" s="206"/>
      <c r="E376" s="207"/>
      <c r="G376" s="234"/>
      <c r="H376" s="206"/>
      <c r="J376" s="224"/>
      <c r="K376" s="230"/>
      <c r="L376" s="231"/>
    </row>
    <row r="377">
      <c r="A377" s="233"/>
      <c r="B377" s="206"/>
      <c r="C377" s="205"/>
      <c r="D377" s="206"/>
      <c r="E377" s="207"/>
      <c r="G377" s="234"/>
      <c r="H377" s="206"/>
      <c r="J377" s="224"/>
      <c r="K377" s="230"/>
      <c r="L377" s="231"/>
    </row>
    <row r="378">
      <c r="A378" s="233"/>
      <c r="B378" s="206"/>
      <c r="C378" s="205"/>
      <c r="D378" s="206"/>
      <c r="E378" s="207"/>
      <c r="G378" s="234"/>
      <c r="H378" s="206"/>
      <c r="J378" s="224"/>
      <c r="K378" s="230"/>
      <c r="L378" s="231"/>
    </row>
    <row r="379">
      <c r="A379" s="233"/>
      <c r="B379" s="206"/>
      <c r="C379" s="205"/>
      <c r="D379" s="206"/>
      <c r="E379" s="207"/>
      <c r="G379" s="234"/>
      <c r="H379" s="206"/>
      <c r="J379" s="224"/>
      <c r="K379" s="230"/>
      <c r="L379" s="231"/>
    </row>
    <row r="380">
      <c r="A380" s="233"/>
      <c r="B380" s="206"/>
      <c r="C380" s="205"/>
      <c r="D380" s="206"/>
      <c r="E380" s="207"/>
      <c r="G380" s="234"/>
      <c r="H380" s="206"/>
      <c r="J380" s="224"/>
      <c r="K380" s="230"/>
      <c r="L380" s="231"/>
    </row>
    <row r="381">
      <c r="A381" s="233"/>
      <c r="B381" s="206"/>
      <c r="C381" s="205"/>
      <c r="D381" s="206"/>
      <c r="E381" s="207"/>
      <c r="G381" s="234"/>
      <c r="H381" s="206"/>
      <c r="J381" s="224"/>
      <c r="K381" s="230"/>
      <c r="L381" s="231"/>
    </row>
    <row r="382">
      <c r="A382" s="233"/>
      <c r="B382" s="206"/>
      <c r="C382" s="205"/>
      <c r="D382" s="206"/>
      <c r="E382" s="207"/>
      <c r="G382" s="234"/>
      <c r="H382" s="206"/>
      <c r="J382" s="224"/>
      <c r="K382" s="230"/>
      <c r="L382" s="231"/>
    </row>
    <row r="383">
      <c r="A383" s="233"/>
      <c r="B383" s="206"/>
      <c r="C383" s="205"/>
      <c r="D383" s="206"/>
      <c r="E383" s="207"/>
      <c r="G383" s="234"/>
      <c r="H383" s="206"/>
      <c r="J383" s="224"/>
      <c r="K383" s="230"/>
      <c r="L383" s="231"/>
    </row>
    <row r="384">
      <c r="A384" s="233"/>
      <c r="B384" s="206"/>
      <c r="C384" s="205"/>
      <c r="D384" s="206"/>
      <c r="E384" s="207"/>
      <c r="G384" s="234"/>
      <c r="H384" s="206"/>
      <c r="J384" s="224"/>
      <c r="K384" s="230"/>
      <c r="L384" s="231"/>
    </row>
    <row r="385">
      <c r="A385" s="233"/>
      <c r="B385" s="206"/>
      <c r="C385" s="205"/>
      <c r="D385" s="206"/>
      <c r="E385" s="207"/>
      <c r="G385" s="234"/>
      <c r="H385" s="206"/>
      <c r="J385" s="224"/>
      <c r="K385" s="230"/>
      <c r="L385" s="231"/>
    </row>
    <row r="386">
      <c r="A386" s="233"/>
      <c r="B386" s="206"/>
      <c r="C386" s="205"/>
      <c r="D386" s="206"/>
      <c r="E386" s="207"/>
      <c r="G386" s="234"/>
      <c r="H386" s="206"/>
      <c r="J386" s="224"/>
      <c r="K386" s="230"/>
      <c r="L386" s="231"/>
    </row>
    <row r="387">
      <c r="A387" s="233"/>
      <c r="B387" s="206"/>
      <c r="C387" s="205"/>
      <c r="D387" s="206"/>
      <c r="E387" s="207"/>
      <c r="G387" s="234"/>
      <c r="H387" s="206"/>
      <c r="J387" s="224"/>
      <c r="K387" s="230"/>
      <c r="L387" s="231"/>
    </row>
    <row r="388">
      <c r="A388" s="233"/>
      <c r="B388" s="206"/>
      <c r="C388" s="205"/>
      <c r="D388" s="206"/>
      <c r="E388" s="207"/>
      <c r="G388" s="234"/>
      <c r="H388" s="206"/>
      <c r="J388" s="224"/>
      <c r="K388" s="230"/>
      <c r="L388" s="231"/>
    </row>
    <row r="389">
      <c r="A389" s="233"/>
      <c r="B389" s="206"/>
      <c r="C389" s="205"/>
      <c r="D389" s="206"/>
      <c r="E389" s="207"/>
      <c r="G389" s="234"/>
      <c r="H389" s="206"/>
      <c r="J389" s="224"/>
      <c r="K389" s="230"/>
      <c r="L389" s="231"/>
    </row>
    <row r="390">
      <c r="A390" s="233"/>
      <c r="B390" s="206"/>
      <c r="C390" s="205"/>
      <c r="D390" s="206"/>
      <c r="E390" s="207"/>
      <c r="G390" s="234"/>
      <c r="H390" s="206"/>
      <c r="J390" s="224"/>
      <c r="K390" s="230"/>
      <c r="L390" s="231"/>
    </row>
    <row r="391">
      <c r="A391" s="233"/>
      <c r="B391" s="206"/>
      <c r="C391" s="205"/>
      <c r="D391" s="206"/>
      <c r="E391" s="207"/>
      <c r="G391" s="234"/>
      <c r="H391" s="206"/>
      <c r="J391" s="224"/>
      <c r="K391" s="230"/>
      <c r="L391" s="231"/>
    </row>
    <row r="392">
      <c r="A392" s="233"/>
      <c r="B392" s="206"/>
      <c r="C392" s="205"/>
      <c r="D392" s="206"/>
      <c r="E392" s="207"/>
      <c r="G392" s="234"/>
      <c r="H392" s="206"/>
      <c r="J392" s="224"/>
      <c r="K392" s="230"/>
      <c r="L392" s="231"/>
    </row>
    <row r="393">
      <c r="A393" s="233"/>
      <c r="B393" s="206"/>
      <c r="C393" s="205"/>
      <c r="D393" s="206"/>
      <c r="E393" s="207"/>
      <c r="G393" s="234"/>
      <c r="H393" s="206"/>
      <c r="J393" s="224"/>
      <c r="K393" s="230"/>
      <c r="L393" s="231"/>
    </row>
    <row r="394">
      <c r="A394" s="233"/>
      <c r="B394" s="206"/>
      <c r="C394" s="205"/>
      <c r="D394" s="206"/>
      <c r="E394" s="207"/>
      <c r="G394" s="234"/>
      <c r="H394" s="206"/>
      <c r="J394" s="224"/>
      <c r="K394" s="230"/>
      <c r="L394" s="231"/>
    </row>
    <row r="395">
      <c r="A395" s="233"/>
      <c r="B395" s="206"/>
      <c r="C395" s="205"/>
      <c r="D395" s="206"/>
      <c r="E395" s="207"/>
      <c r="G395" s="234"/>
      <c r="H395" s="206"/>
      <c r="J395" s="224"/>
      <c r="K395" s="230"/>
      <c r="L395" s="231"/>
    </row>
    <row r="396">
      <c r="A396" s="233"/>
      <c r="B396" s="206"/>
      <c r="C396" s="205"/>
      <c r="D396" s="206"/>
      <c r="E396" s="207"/>
      <c r="G396" s="234"/>
      <c r="H396" s="206"/>
      <c r="J396" s="224"/>
      <c r="K396" s="230"/>
      <c r="L396" s="231"/>
    </row>
    <row r="397">
      <c r="A397" s="233"/>
      <c r="B397" s="206"/>
      <c r="C397" s="205"/>
      <c r="D397" s="206"/>
      <c r="E397" s="207"/>
      <c r="G397" s="234"/>
      <c r="H397" s="206"/>
      <c r="J397" s="224"/>
      <c r="K397" s="230"/>
      <c r="L397" s="231"/>
    </row>
    <row r="398">
      <c r="A398" s="233"/>
      <c r="B398" s="206"/>
      <c r="C398" s="205"/>
      <c r="D398" s="206"/>
      <c r="E398" s="207"/>
      <c r="G398" s="234"/>
      <c r="H398" s="206"/>
      <c r="J398" s="224"/>
      <c r="K398" s="230"/>
      <c r="L398" s="231"/>
    </row>
    <row r="399">
      <c r="A399" s="233"/>
      <c r="B399" s="206"/>
      <c r="C399" s="205"/>
      <c r="D399" s="206"/>
      <c r="E399" s="207"/>
      <c r="G399" s="234"/>
      <c r="H399" s="206"/>
      <c r="J399" s="224"/>
      <c r="K399" s="230"/>
      <c r="L399" s="231"/>
    </row>
    <row r="400">
      <c r="A400" s="233"/>
      <c r="B400" s="206"/>
      <c r="C400" s="205"/>
      <c r="D400" s="206"/>
      <c r="E400" s="207"/>
      <c r="G400" s="234"/>
      <c r="H400" s="206"/>
      <c r="J400" s="224"/>
      <c r="K400" s="230"/>
      <c r="L400" s="231"/>
    </row>
    <row r="401">
      <c r="A401" s="233"/>
      <c r="B401" s="206"/>
      <c r="C401" s="205"/>
      <c r="D401" s="206"/>
      <c r="E401" s="207"/>
      <c r="G401" s="234"/>
      <c r="H401" s="206"/>
      <c r="J401" s="224"/>
      <c r="K401" s="230"/>
      <c r="L401" s="231"/>
    </row>
    <row r="402">
      <c r="A402" s="233"/>
      <c r="B402" s="206"/>
      <c r="C402" s="205"/>
      <c r="D402" s="206"/>
      <c r="E402" s="207"/>
      <c r="G402" s="234"/>
      <c r="H402" s="206"/>
      <c r="J402" s="224"/>
      <c r="K402" s="230"/>
      <c r="L402" s="231"/>
    </row>
    <row r="403">
      <c r="A403" s="233"/>
      <c r="B403" s="206"/>
      <c r="C403" s="205"/>
      <c r="D403" s="206"/>
      <c r="E403" s="207"/>
      <c r="G403" s="234"/>
      <c r="H403" s="206"/>
      <c r="J403" s="224"/>
      <c r="K403" s="230"/>
      <c r="L403" s="231"/>
    </row>
    <row r="404">
      <c r="A404" s="233"/>
      <c r="B404" s="206"/>
      <c r="C404" s="205"/>
      <c r="D404" s="206"/>
      <c r="E404" s="207"/>
      <c r="G404" s="234"/>
      <c r="H404" s="206"/>
      <c r="J404" s="224"/>
      <c r="K404" s="230"/>
      <c r="L404" s="231"/>
    </row>
    <row r="405">
      <c r="A405" s="233"/>
      <c r="B405" s="206"/>
      <c r="C405" s="205"/>
      <c r="D405" s="206"/>
      <c r="E405" s="207"/>
      <c r="G405" s="234"/>
      <c r="H405" s="206"/>
      <c r="J405" s="224"/>
      <c r="K405" s="230"/>
      <c r="L405" s="231"/>
    </row>
    <row r="406">
      <c r="A406" s="233"/>
      <c r="B406" s="206"/>
      <c r="C406" s="205"/>
      <c r="D406" s="206"/>
      <c r="E406" s="207"/>
      <c r="G406" s="234"/>
      <c r="H406" s="206"/>
      <c r="J406" s="224"/>
      <c r="K406" s="230"/>
      <c r="L406" s="231"/>
    </row>
    <row r="407">
      <c r="A407" s="233"/>
      <c r="B407" s="206"/>
      <c r="C407" s="205"/>
      <c r="D407" s="206"/>
      <c r="E407" s="207"/>
      <c r="G407" s="234"/>
      <c r="H407" s="206"/>
      <c r="J407" s="224"/>
      <c r="K407" s="230"/>
      <c r="L407" s="231"/>
    </row>
    <row r="408">
      <c r="A408" s="233"/>
      <c r="B408" s="206"/>
      <c r="C408" s="205"/>
      <c r="D408" s="206"/>
      <c r="E408" s="207"/>
      <c r="G408" s="234"/>
      <c r="H408" s="206"/>
      <c r="J408" s="224"/>
      <c r="K408" s="230"/>
      <c r="L408" s="231"/>
    </row>
    <row r="409">
      <c r="A409" s="233"/>
      <c r="B409" s="206"/>
      <c r="C409" s="205"/>
      <c r="D409" s="206"/>
      <c r="E409" s="207"/>
      <c r="G409" s="234"/>
      <c r="H409" s="206"/>
      <c r="J409" s="224"/>
      <c r="K409" s="230"/>
      <c r="L409" s="231"/>
    </row>
    <row r="410">
      <c r="A410" s="233"/>
      <c r="B410" s="206"/>
      <c r="C410" s="205"/>
      <c r="D410" s="206"/>
      <c r="E410" s="207"/>
      <c r="G410" s="234"/>
      <c r="H410" s="206"/>
      <c r="J410" s="224"/>
      <c r="K410" s="230"/>
      <c r="L410" s="231"/>
    </row>
    <row r="411">
      <c r="A411" s="233"/>
      <c r="B411" s="206"/>
      <c r="C411" s="205"/>
      <c r="D411" s="206"/>
      <c r="E411" s="207"/>
      <c r="G411" s="234"/>
      <c r="H411" s="206"/>
      <c r="J411" s="224"/>
      <c r="K411" s="230"/>
      <c r="L411" s="231"/>
    </row>
    <row r="412">
      <c r="A412" s="233"/>
      <c r="B412" s="206"/>
      <c r="C412" s="205"/>
      <c r="D412" s="206"/>
      <c r="E412" s="207"/>
      <c r="G412" s="234"/>
      <c r="H412" s="206"/>
      <c r="J412" s="224"/>
      <c r="K412" s="230"/>
      <c r="L412" s="231"/>
    </row>
    <row r="413">
      <c r="A413" s="233"/>
      <c r="B413" s="206"/>
      <c r="C413" s="205"/>
      <c r="D413" s="206"/>
      <c r="E413" s="207"/>
      <c r="G413" s="234"/>
      <c r="H413" s="206"/>
      <c r="J413" s="224"/>
      <c r="K413" s="230"/>
      <c r="L413" s="231"/>
    </row>
    <row r="414">
      <c r="A414" s="233"/>
      <c r="B414" s="206"/>
      <c r="C414" s="205"/>
      <c r="D414" s="206"/>
      <c r="E414" s="207"/>
      <c r="G414" s="234"/>
      <c r="H414" s="206"/>
      <c r="J414" s="224"/>
      <c r="K414" s="230"/>
      <c r="L414" s="231"/>
    </row>
    <row r="415">
      <c r="A415" s="233"/>
      <c r="B415" s="206"/>
      <c r="C415" s="205"/>
      <c r="D415" s="206"/>
      <c r="E415" s="207"/>
      <c r="G415" s="234"/>
      <c r="H415" s="206"/>
      <c r="J415" s="224"/>
      <c r="K415" s="230"/>
      <c r="L415" s="231"/>
    </row>
    <row r="416">
      <c r="A416" s="233"/>
      <c r="B416" s="206"/>
      <c r="C416" s="205"/>
      <c r="D416" s="206"/>
      <c r="E416" s="207"/>
      <c r="G416" s="234"/>
      <c r="H416" s="206"/>
      <c r="J416" s="224"/>
      <c r="K416" s="230"/>
      <c r="L416" s="231"/>
    </row>
    <row r="417">
      <c r="A417" s="233"/>
      <c r="B417" s="206"/>
      <c r="C417" s="205"/>
      <c r="D417" s="206"/>
      <c r="E417" s="207"/>
      <c r="G417" s="234"/>
      <c r="H417" s="206"/>
      <c r="J417" s="224"/>
      <c r="K417" s="230"/>
      <c r="L417" s="231"/>
    </row>
    <row r="418">
      <c r="A418" s="233"/>
      <c r="B418" s="206"/>
      <c r="C418" s="205"/>
      <c r="D418" s="206"/>
      <c r="E418" s="207"/>
      <c r="G418" s="234"/>
      <c r="H418" s="206"/>
      <c r="J418" s="224"/>
      <c r="K418" s="230"/>
      <c r="L418" s="231"/>
    </row>
    <row r="419">
      <c r="A419" s="233"/>
      <c r="B419" s="206"/>
      <c r="C419" s="205"/>
      <c r="D419" s="206"/>
      <c r="E419" s="207"/>
      <c r="G419" s="234"/>
      <c r="H419" s="206"/>
      <c r="J419" s="224"/>
      <c r="K419" s="230"/>
      <c r="L419" s="231"/>
    </row>
    <row r="420">
      <c r="A420" s="233"/>
      <c r="B420" s="206"/>
      <c r="C420" s="205"/>
      <c r="D420" s="206"/>
      <c r="E420" s="207"/>
      <c r="G420" s="234"/>
      <c r="H420" s="206"/>
      <c r="J420" s="224"/>
      <c r="K420" s="230"/>
      <c r="L420" s="231"/>
    </row>
    <row r="421">
      <c r="A421" s="233"/>
      <c r="B421" s="206"/>
      <c r="C421" s="205"/>
      <c r="D421" s="206"/>
      <c r="E421" s="207"/>
      <c r="G421" s="234"/>
      <c r="H421" s="206"/>
      <c r="J421" s="224"/>
      <c r="K421" s="230"/>
      <c r="L421" s="231"/>
    </row>
    <row r="422">
      <c r="A422" s="233"/>
      <c r="B422" s="206"/>
      <c r="C422" s="205"/>
      <c r="D422" s="206"/>
      <c r="E422" s="207"/>
      <c r="G422" s="234"/>
      <c r="H422" s="206"/>
      <c r="J422" s="224"/>
      <c r="K422" s="230"/>
      <c r="L422" s="231"/>
    </row>
    <row r="423">
      <c r="A423" s="233"/>
      <c r="B423" s="206"/>
      <c r="C423" s="205"/>
      <c r="D423" s="206"/>
      <c r="E423" s="207"/>
      <c r="G423" s="234"/>
      <c r="H423" s="206"/>
      <c r="J423" s="224"/>
      <c r="K423" s="230"/>
      <c r="L423" s="231"/>
    </row>
    <row r="424">
      <c r="A424" s="233"/>
      <c r="B424" s="206"/>
      <c r="C424" s="205"/>
      <c r="D424" s="206"/>
      <c r="E424" s="207"/>
      <c r="G424" s="234"/>
      <c r="H424" s="206"/>
      <c r="J424" s="224"/>
      <c r="K424" s="230"/>
      <c r="L424" s="231"/>
    </row>
    <row r="425">
      <c r="A425" s="233"/>
      <c r="B425" s="206"/>
      <c r="C425" s="205"/>
      <c r="D425" s="206"/>
      <c r="E425" s="207"/>
      <c r="G425" s="234"/>
      <c r="H425" s="206"/>
      <c r="J425" s="224"/>
      <c r="K425" s="230"/>
      <c r="L425" s="231"/>
    </row>
    <row r="426">
      <c r="A426" s="233"/>
      <c r="B426" s="206"/>
      <c r="C426" s="205"/>
      <c r="D426" s="206"/>
      <c r="E426" s="207"/>
      <c r="G426" s="234"/>
      <c r="H426" s="206"/>
      <c r="J426" s="224"/>
      <c r="K426" s="230"/>
      <c r="L426" s="231"/>
    </row>
    <row r="427">
      <c r="A427" s="233"/>
      <c r="B427" s="206"/>
      <c r="C427" s="205"/>
      <c r="D427" s="206"/>
      <c r="E427" s="207"/>
      <c r="G427" s="234"/>
      <c r="H427" s="206"/>
      <c r="J427" s="224"/>
      <c r="K427" s="230"/>
      <c r="L427" s="231"/>
    </row>
    <row r="428">
      <c r="A428" s="233"/>
      <c r="B428" s="206"/>
      <c r="C428" s="205"/>
      <c r="D428" s="206"/>
      <c r="E428" s="207"/>
      <c r="G428" s="234"/>
      <c r="H428" s="206"/>
      <c r="J428" s="224"/>
      <c r="K428" s="230"/>
      <c r="L428" s="231"/>
    </row>
    <row r="429">
      <c r="A429" s="233"/>
      <c r="B429" s="206"/>
      <c r="C429" s="205"/>
      <c r="D429" s="206"/>
      <c r="E429" s="207"/>
      <c r="G429" s="234"/>
      <c r="H429" s="206"/>
      <c r="J429" s="224"/>
      <c r="K429" s="230"/>
      <c r="L429" s="231"/>
    </row>
    <row r="430">
      <c r="A430" s="233"/>
      <c r="B430" s="206"/>
      <c r="C430" s="205"/>
      <c r="D430" s="206"/>
      <c r="E430" s="207"/>
      <c r="G430" s="234"/>
      <c r="H430" s="206"/>
      <c r="J430" s="224"/>
      <c r="K430" s="230"/>
      <c r="L430" s="231"/>
    </row>
    <row r="431">
      <c r="A431" s="233"/>
      <c r="B431" s="206"/>
      <c r="C431" s="205"/>
      <c r="D431" s="206"/>
      <c r="E431" s="207"/>
      <c r="G431" s="234"/>
      <c r="H431" s="206"/>
      <c r="J431" s="224"/>
      <c r="K431" s="230"/>
      <c r="L431" s="231"/>
    </row>
    <row r="432">
      <c r="A432" s="233"/>
      <c r="B432" s="206"/>
      <c r="C432" s="205"/>
      <c r="D432" s="206"/>
      <c r="E432" s="207"/>
      <c r="G432" s="234"/>
      <c r="H432" s="206"/>
      <c r="J432" s="224"/>
      <c r="K432" s="230"/>
      <c r="L432" s="231"/>
    </row>
    <row r="433">
      <c r="A433" s="233"/>
      <c r="B433" s="206"/>
      <c r="C433" s="205"/>
      <c r="D433" s="206"/>
      <c r="E433" s="207"/>
      <c r="G433" s="234"/>
      <c r="H433" s="206"/>
      <c r="J433" s="224"/>
      <c r="K433" s="230"/>
      <c r="L433" s="231"/>
    </row>
    <row r="434">
      <c r="A434" s="233"/>
      <c r="B434" s="206"/>
      <c r="C434" s="205"/>
      <c r="D434" s="206"/>
      <c r="E434" s="207"/>
      <c r="G434" s="234"/>
      <c r="H434" s="206"/>
      <c r="J434" s="224"/>
      <c r="K434" s="230"/>
      <c r="L434" s="231"/>
    </row>
    <row r="435">
      <c r="A435" s="233"/>
      <c r="B435" s="206"/>
      <c r="C435" s="205"/>
      <c r="D435" s="206"/>
      <c r="E435" s="207"/>
      <c r="G435" s="234"/>
      <c r="H435" s="206"/>
      <c r="J435" s="224"/>
      <c r="K435" s="230"/>
      <c r="L435" s="231"/>
    </row>
    <row r="436">
      <c r="A436" s="233"/>
      <c r="B436" s="206"/>
      <c r="C436" s="205"/>
      <c r="D436" s="206"/>
      <c r="E436" s="207"/>
      <c r="G436" s="234"/>
      <c r="H436" s="206"/>
      <c r="J436" s="224"/>
      <c r="K436" s="230"/>
      <c r="L436" s="231"/>
    </row>
    <row r="437">
      <c r="A437" s="233"/>
      <c r="B437" s="206"/>
      <c r="C437" s="205"/>
      <c r="D437" s="206"/>
      <c r="E437" s="207"/>
      <c r="G437" s="234"/>
      <c r="H437" s="206"/>
      <c r="J437" s="224"/>
      <c r="K437" s="230"/>
      <c r="L437" s="231"/>
    </row>
    <row r="438">
      <c r="A438" s="233"/>
      <c r="B438" s="206"/>
      <c r="C438" s="205"/>
      <c r="D438" s="206"/>
      <c r="E438" s="207"/>
      <c r="G438" s="234"/>
      <c r="H438" s="206"/>
      <c r="J438" s="224"/>
      <c r="K438" s="230"/>
      <c r="L438" s="231"/>
    </row>
    <row r="439">
      <c r="A439" s="233"/>
      <c r="B439" s="206"/>
      <c r="C439" s="205"/>
      <c r="D439" s="206"/>
      <c r="E439" s="207"/>
      <c r="G439" s="234"/>
      <c r="H439" s="206"/>
      <c r="J439" s="224"/>
      <c r="K439" s="230"/>
      <c r="L439" s="231"/>
    </row>
    <row r="440">
      <c r="A440" s="233"/>
      <c r="B440" s="206"/>
      <c r="C440" s="205"/>
      <c r="D440" s="206"/>
      <c r="E440" s="207"/>
      <c r="G440" s="234"/>
      <c r="H440" s="206"/>
      <c r="J440" s="224"/>
      <c r="K440" s="230"/>
      <c r="L440" s="231"/>
    </row>
    <row r="441">
      <c r="A441" s="233"/>
      <c r="B441" s="206"/>
      <c r="C441" s="205"/>
      <c r="D441" s="206"/>
      <c r="E441" s="207"/>
      <c r="G441" s="234"/>
      <c r="H441" s="206"/>
      <c r="J441" s="224"/>
      <c r="K441" s="230"/>
      <c r="L441" s="231"/>
    </row>
    <row r="442">
      <c r="A442" s="233"/>
      <c r="B442" s="206"/>
      <c r="C442" s="205"/>
      <c r="D442" s="206"/>
      <c r="E442" s="207"/>
      <c r="G442" s="234"/>
      <c r="H442" s="206"/>
      <c r="J442" s="224"/>
      <c r="K442" s="230"/>
      <c r="L442" s="231"/>
    </row>
    <row r="443">
      <c r="A443" s="233"/>
      <c r="B443" s="206"/>
      <c r="C443" s="205"/>
      <c r="D443" s="206"/>
      <c r="E443" s="207"/>
      <c r="G443" s="234"/>
      <c r="H443" s="206"/>
      <c r="J443" s="224"/>
      <c r="K443" s="230"/>
      <c r="L443" s="231"/>
    </row>
    <row r="444">
      <c r="A444" s="233"/>
      <c r="B444" s="206"/>
      <c r="C444" s="205"/>
      <c r="D444" s="206"/>
      <c r="E444" s="207"/>
      <c r="G444" s="234"/>
      <c r="H444" s="206"/>
      <c r="J444" s="224"/>
      <c r="K444" s="230"/>
      <c r="L444" s="231"/>
    </row>
    <row r="445">
      <c r="A445" s="233"/>
      <c r="B445" s="206"/>
      <c r="C445" s="205"/>
      <c r="D445" s="206"/>
      <c r="E445" s="207"/>
      <c r="G445" s="234"/>
      <c r="H445" s="206"/>
      <c r="J445" s="224"/>
      <c r="K445" s="230"/>
      <c r="L445" s="231"/>
    </row>
    <row r="446">
      <c r="A446" s="233"/>
      <c r="B446" s="206"/>
      <c r="C446" s="205"/>
      <c r="D446" s="206"/>
      <c r="E446" s="207"/>
      <c r="G446" s="234"/>
      <c r="H446" s="206"/>
      <c r="J446" s="224"/>
      <c r="K446" s="230"/>
      <c r="L446" s="231"/>
    </row>
    <row r="447">
      <c r="A447" s="233"/>
      <c r="B447" s="206"/>
      <c r="C447" s="205"/>
      <c r="D447" s="206"/>
      <c r="E447" s="207"/>
      <c r="G447" s="234"/>
      <c r="H447" s="206"/>
      <c r="J447" s="224"/>
      <c r="K447" s="230"/>
      <c r="L447" s="231"/>
    </row>
    <row r="448">
      <c r="A448" s="233"/>
      <c r="B448" s="206"/>
      <c r="C448" s="205"/>
      <c r="D448" s="206"/>
      <c r="E448" s="207"/>
      <c r="G448" s="234"/>
      <c r="H448" s="206"/>
      <c r="J448" s="224"/>
      <c r="K448" s="230"/>
      <c r="L448" s="231"/>
    </row>
    <row r="449">
      <c r="A449" s="233"/>
      <c r="B449" s="206"/>
      <c r="C449" s="205"/>
      <c r="D449" s="206"/>
      <c r="E449" s="207"/>
      <c r="G449" s="234"/>
      <c r="H449" s="206"/>
      <c r="J449" s="224"/>
      <c r="K449" s="230"/>
      <c r="L449" s="231"/>
    </row>
    <row r="450">
      <c r="A450" s="233"/>
      <c r="B450" s="206"/>
      <c r="C450" s="205"/>
      <c r="D450" s="206"/>
      <c r="E450" s="207"/>
      <c r="G450" s="234"/>
      <c r="H450" s="206"/>
      <c r="J450" s="224"/>
      <c r="K450" s="230"/>
      <c r="L450" s="231"/>
    </row>
    <row r="451">
      <c r="A451" s="233"/>
      <c r="B451" s="206"/>
      <c r="C451" s="205"/>
      <c r="D451" s="206"/>
      <c r="E451" s="207"/>
      <c r="G451" s="234"/>
      <c r="H451" s="206"/>
      <c r="J451" s="224"/>
      <c r="K451" s="230"/>
      <c r="L451" s="231"/>
    </row>
    <row r="452">
      <c r="A452" s="233"/>
      <c r="B452" s="206"/>
      <c r="C452" s="205"/>
      <c r="D452" s="206"/>
      <c r="E452" s="207"/>
      <c r="G452" s="234"/>
      <c r="H452" s="206"/>
      <c r="J452" s="224"/>
      <c r="K452" s="230"/>
      <c r="L452" s="231"/>
    </row>
    <row r="453">
      <c r="A453" s="233"/>
      <c r="B453" s="206"/>
      <c r="C453" s="205"/>
      <c r="D453" s="206"/>
      <c r="E453" s="207"/>
      <c r="G453" s="234"/>
      <c r="H453" s="206"/>
      <c r="J453" s="224"/>
      <c r="K453" s="230"/>
      <c r="L453" s="231"/>
    </row>
    <row r="454">
      <c r="A454" s="233"/>
      <c r="B454" s="206"/>
      <c r="C454" s="205"/>
      <c r="D454" s="206"/>
      <c r="E454" s="207"/>
      <c r="G454" s="234"/>
      <c r="H454" s="206"/>
      <c r="J454" s="224"/>
      <c r="K454" s="230"/>
      <c r="L454" s="231"/>
    </row>
    <row r="455">
      <c r="A455" s="233"/>
      <c r="B455" s="206"/>
      <c r="C455" s="205"/>
      <c r="D455" s="206"/>
      <c r="E455" s="207"/>
      <c r="G455" s="234"/>
      <c r="H455" s="206"/>
      <c r="J455" s="224"/>
      <c r="K455" s="230"/>
      <c r="L455" s="231"/>
    </row>
    <row r="456">
      <c r="A456" s="233"/>
      <c r="B456" s="206"/>
      <c r="C456" s="205"/>
      <c r="D456" s="206"/>
      <c r="E456" s="207"/>
      <c r="G456" s="234"/>
      <c r="H456" s="206"/>
      <c r="J456" s="224"/>
      <c r="K456" s="230"/>
      <c r="L456" s="231"/>
    </row>
    <row r="457">
      <c r="A457" s="233"/>
      <c r="B457" s="206"/>
      <c r="C457" s="205"/>
      <c r="D457" s="206"/>
      <c r="E457" s="207"/>
      <c r="G457" s="234"/>
      <c r="H457" s="206"/>
      <c r="J457" s="224"/>
      <c r="K457" s="230"/>
      <c r="L457" s="231"/>
    </row>
    <row r="458">
      <c r="A458" s="233"/>
      <c r="B458" s="206"/>
      <c r="C458" s="205"/>
      <c r="D458" s="206"/>
      <c r="E458" s="207"/>
      <c r="G458" s="234"/>
      <c r="H458" s="206"/>
      <c r="J458" s="224"/>
      <c r="K458" s="230"/>
      <c r="L458" s="231"/>
    </row>
    <row r="459">
      <c r="A459" s="233"/>
      <c r="B459" s="206"/>
      <c r="C459" s="205"/>
      <c r="D459" s="206"/>
      <c r="E459" s="207"/>
      <c r="G459" s="234"/>
      <c r="H459" s="206"/>
      <c r="J459" s="224"/>
      <c r="K459" s="230"/>
      <c r="L459" s="231"/>
    </row>
    <row r="460">
      <c r="A460" s="233"/>
      <c r="B460" s="206"/>
      <c r="C460" s="205"/>
      <c r="D460" s="206"/>
      <c r="E460" s="207"/>
      <c r="G460" s="234"/>
      <c r="H460" s="206"/>
      <c r="J460" s="224"/>
      <c r="K460" s="230"/>
      <c r="L460" s="231"/>
    </row>
    <row r="461">
      <c r="A461" s="233"/>
      <c r="B461" s="206"/>
      <c r="C461" s="205"/>
      <c r="D461" s="206"/>
      <c r="E461" s="207"/>
      <c r="G461" s="234"/>
      <c r="H461" s="206"/>
      <c r="J461" s="224"/>
      <c r="K461" s="230"/>
      <c r="L461" s="231"/>
    </row>
    <row r="462">
      <c r="A462" s="233"/>
      <c r="B462" s="206"/>
      <c r="C462" s="205"/>
      <c r="D462" s="206"/>
      <c r="E462" s="207"/>
      <c r="G462" s="234"/>
      <c r="H462" s="206"/>
      <c r="J462" s="224"/>
      <c r="K462" s="230"/>
      <c r="L462" s="231"/>
    </row>
    <row r="463">
      <c r="A463" s="233"/>
      <c r="B463" s="206"/>
      <c r="C463" s="205"/>
      <c r="D463" s="206"/>
      <c r="E463" s="207"/>
      <c r="G463" s="234"/>
      <c r="H463" s="206"/>
      <c r="J463" s="224"/>
      <c r="K463" s="230"/>
      <c r="L463" s="231"/>
    </row>
    <row r="464">
      <c r="A464" s="233"/>
      <c r="B464" s="206"/>
      <c r="C464" s="205"/>
      <c r="D464" s="206"/>
      <c r="E464" s="207"/>
      <c r="G464" s="234"/>
      <c r="H464" s="206"/>
      <c r="J464" s="224"/>
      <c r="K464" s="230"/>
      <c r="L464" s="231"/>
    </row>
    <row r="465">
      <c r="A465" s="233"/>
      <c r="B465" s="206"/>
      <c r="C465" s="205"/>
      <c r="D465" s="206"/>
      <c r="E465" s="207"/>
      <c r="G465" s="234"/>
      <c r="H465" s="206"/>
      <c r="J465" s="224"/>
      <c r="K465" s="230"/>
      <c r="L465" s="231"/>
    </row>
    <row r="466">
      <c r="A466" s="233"/>
      <c r="B466" s="206"/>
      <c r="C466" s="205"/>
      <c r="D466" s="206"/>
      <c r="E466" s="207"/>
      <c r="G466" s="234"/>
      <c r="H466" s="206"/>
      <c r="J466" s="224"/>
      <c r="K466" s="230"/>
      <c r="L466" s="231"/>
    </row>
    <row r="467">
      <c r="A467" s="233"/>
      <c r="B467" s="206"/>
      <c r="C467" s="205"/>
      <c r="D467" s="206"/>
      <c r="E467" s="207"/>
      <c r="G467" s="234"/>
      <c r="H467" s="206"/>
      <c r="J467" s="224"/>
      <c r="K467" s="230"/>
      <c r="L467" s="231"/>
    </row>
    <row r="468">
      <c r="A468" s="233"/>
      <c r="B468" s="206"/>
      <c r="C468" s="205"/>
      <c r="D468" s="206"/>
      <c r="E468" s="207"/>
      <c r="G468" s="234"/>
      <c r="H468" s="206"/>
      <c r="J468" s="224"/>
      <c r="K468" s="230"/>
      <c r="L468" s="231"/>
    </row>
    <row r="469">
      <c r="A469" s="233"/>
      <c r="B469" s="206"/>
      <c r="C469" s="205"/>
      <c r="D469" s="206"/>
      <c r="E469" s="207"/>
      <c r="G469" s="234"/>
      <c r="H469" s="206"/>
      <c r="J469" s="224"/>
      <c r="K469" s="230"/>
      <c r="L469" s="231"/>
    </row>
    <row r="470">
      <c r="A470" s="233"/>
      <c r="B470" s="206"/>
      <c r="C470" s="205"/>
      <c r="D470" s="206"/>
      <c r="E470" s="207"/>
      <c r="G470" s="234"/>
      <c r="H470" s="206"/>
      <c r="J470" s="224"/>
      <c r="K470" s="230"/>
      <c r="L470" s="231"/>
    </row>
    <row r="471">
      <c r="A471" s="233"/>
      <c r="B471" s="206"/>
      <c r="C471" s="205"/>
      <c r="D471" s="206"/>
      <c r="E471" s="207"/>
      <c r="G471" s="234"/>
      <c r="H471" s="206"/>
      <c r="J471" s="224"/>
      <c r="K471" s="230"/>
      <c r="L471" s="231"/>
    </row>
    <row r="472">
      <c r="A472" s="233"/>
      <c r="B472" s="206"/>
      <c r="C472" s="205"/>
      <c r="D472" s="206"/>
      <c r="E472" s="207"/>
      <c r="G472" s="234"/>
      <c r="H472" s="206"/>
      <c r="J472" s="224"/>
      <c r="K472" s="230"/>
      <c r="L472" s="231"/>
    </row>
    <row r="473">
      <c r="A473" s="233"/>
      <c r="B473" s="206"/>
      <c r="C473" s="205"/>
      <c r="D473" s="206"/>
      <c r="E473" s="207"/>
      <c r="G473" s="234"/>
      <c r="H473" s="206"/>
      <c r="J473" s="224"/>
      <c r="K473" s="230"/>
      <c r="L473" s="231"/>
    </row>
    <row r="474">
      <c r="A474" s="233"/>
      <c r="B474" s="206"/>
      <c r="C474" s="205"/>
      <c r="D474" s="206"/>
      <c r="E474" s="207"/>
      <c r="G474" s="234"/>
      <c r="H474" s="206"/>
      <c r="J474" s="224"/>
      <c r="K474" s="230"/>
      <c r="L474" s="231"/>
    </row>
    <row r="475">
      <c r="A475" s="233"/>
      <c r="B475" s="206"/>
      <c r="C475" s="205"/>
      <c r="D475" s="206"/>
      <c r="E475" s="207"/>
      <c r="G475" s="234"/>
      <c r="H475" s="206"/>
      <c r="J475" s="224"/>
      <c r="K475" s="230"/>
      <c r="L475" s="231"/>
    </row>
    <row r="476">
      <c r="A476" s="233"/>
      <c r="B476" s="206"/>
      <c r="C476" s="205"/>
      <c r="D476" s="206"/>
      <c r="E476" s="207"/>
      <c r="G476" s="234"/>
      <c r="H476" s="206"/>
      <c r="J476" s="224"/>
      <c r="K476" s="230"/>
      <c r="L476" s="231"/>
    </row>
    <row r="477">
      <c r="A477" s="233"/>
      <c r="B477" s="206"/>
      <c r="C477" s="205"/>
      <c r="D477" s="206"/>
      <c r="E477" s="207"/>
      <c r="G477" s="234"/>
      <c r="H477" s="206"/>
      <c r="J477" s="224"/>
      <c r="K477" s="230"/>
      <c r="L477" s="231"/>
    </row>
    <row r="478">
      <c r="A478" s="233"/>
      <c r="B478" s="206"/>
      <c r="C478" s="205"/>
      <c r="D478" s="206"/>
      <c r="E478" s="207"/>
      <c r="G478" s="234"/>
      <c r="H478" s="206"/>
      <c r="J478" s="224"/>
      <c r="K478" s="230"/>
      <c r="L478" s="231"/>
    </row>
    <row r="479">
      <c r="A479" s="233"/>
      <c r="B479" s="206"/>
      <c r="C479" s="205"/>
      <c r="D479" s="206"/>
      <c r="E479" s="207"/>
      <c r="G479" s="234"/>
      <c r="H479" s="206"/>
      <c r="J479" s="224"/>
      <c r="K479" s="230"/>
      <c r="L479" s="231"/>
    </row>
    <row r="480">
      <c r="A480" s="233"/>
      <c r="B480" s="206"/>
      <c r="C480" s="205"/>
      <c r="D480" s="206"/>
      <c r="E480" s="207"/>
      <c r="G480" s="234"/>
      <c r="H480" s="206"/>
      <c r="J480" s="224"/>
      <c r="K480" s="230"/>
      <c r="L480" s="231"/>
    </row>
    <row r="481">
      <c r="A481" s="233"/>
      <c r="B481" s="206"/>
      <c r="C481" s="205"/>
      <c r="D481" s="206"/>
      <c r="E481" s="207"/>
      <c r="G481" s="234"/>
      <c r="H481" s="206"/>
      <c r="J481" s="224"/>
      <c r="K481" s="230"/>
      <c r="L481" s="231"/>
    </row>
    <row r="482">
      <c r="A482" s="233"/>
      <c r="B482" s="206"/>
      <c r="C482" s="205"/>
      <c r="D482" s="206"/>
      <c r="E482" s="207"/>
      <c r="G482" s="234"/>
      <c r="H482" s="206"/>
      <c r="J482" s="224"/>
      <c r="K482" s="230"/>
      <c r="L482" s="231"/>
    </row>
    <row r="483">
      <c r="A483" s="233"/>
      <c r="B483" s="206"/>
      <c r="C483" s="205"/>
      <c r="D483" s="206"/>
      <c r="E483" s="207"/>
      <c r="G483" s="234"/>
      <c r="H483" s="206"/>
      <c r="J483" s="224"/>
      <c r="K483" s="230"/>
      <c r="L483" s="231"/>
    </row>
    <row r="484">
      <c r="A484" s="233"/>
      <c r="B484" s="206"/>
      <c r="C484" s="205"/>
      <c r="D484" s="206"/>
      <c r="E484" s="207"/>
      <c r="G484" s="234"/>
      <c r="H484" s="206"/>
      <c r="J484" s="224"/>
      <c r="K484" s="230"/>
      <c r="L484" s="231"/>
    </row>
    <row r="485">
      <c r="A485" s="233"/>
      <c r="B485" s="206"/>
      <c r="C485" s="205"/>
      <c r="D485" s="206"/>
      <c r="E485" s="207"/>
      <c r="G485" s="234"/>
      <c r="H485" s="206"/>
      <c r="J485" s="224"/>
      <c r="K485" s="230"/>
      <c r="L485" s="231"/>
    </row>
    <row r="486">
      <c r="A486" s="233"/>
      <c r="B486" s="206"/>
      <c r="C486" s="205"/>
      <c r="D486" s="206"/>
      <c r="E486" s="207"/>
      <c r="G486" s="234"/>
      <c r="H486" s="206"/>
      <c r="J486" s="224"/>
      <c r="K486" s="230"/>
      <c r="L486" s="231"/>
    </row>
    <row r="487">
      <c r="A487" s="233"/>
      <c r="B487" s="206"/>
      <c r="C487" s="205"/>
      <c r="D487" s="206"/>
      <c r="E487" s="207"/>
      <c r="G487" s="234"/>
      <c r="H487" s="206"/>
      <c r="J487" s="224"/>
      <c r="K487" s="230"/>
      <c r="L487" s="231"/>
    </row>
    <row r="488">
      <c r="A488" s="233"/>
      <c r="B488" s="206"/>
      <c r="C488" s="205"/>
      <c r="D488" s="206"/>
      <c r="E488" s="207"/>
      <c r="G488" s="234"/>
      <c r="H488" s="206"/>
      <c r="J488" s="224"/>
      <c r="K488" s="230"/>
      <c r="L488" s="231"/>
    </row>
    <row r="489">
      <c r="A489" s="233"/>
      <c r="B489" s="206"/>
      <c r="C489" s="205"/>
      <c r="D489" s="206"/>
      <c r="E489" s="207"/>
      <c r="G489" s="234"/>
      <c r="H489" s="206"/>
      <c r="J489" s="224"/>
      <c r="K489" s="230"/>
      <c r="L489" s="231"/>
    </row>
    <row r="490">
      <c r="A490" s="233"/>
      <c r="B490" s="206"/>
      <c r="C490" s="205"/>
      <c r="D490" s="206"/>
      <c r="E490" s="207"/>
      <c r="G490" s="234"/>
      <c r="H490" s="206"/>
      <c r="J490" s="224"/>
      <c r="K490" s="230"/>
      <c r="L490" s="231"/>
    </row>
    <row r="491">
      <c r="A491" s="233"/>
      <c r="B491" s="206"/>
      <c r="C491" s="205"/>
      <c r="D491" s="206"/>
      <c r="E491" s="207"/>
      <c r="G491" s="234"/>
      <c r="H491" s="206"/>
      <c r="J491" s="224"/>
      <c r="K491" s="230"/>
      <c r="L491" s="231"/>
    </row>
    <row r="492">
      <c r="A492" s="233"/>
      <c r="B492" s="206"/>
      <c r="C492" s="205"/>
      <c r="D492" s="206"/>
      <c r="E492" s="207"/>
      <c r="G492" s="234"/>
      <c r="H492" s="206"/>
      <c r="J492" s="224"/>
      <c r="K492" s="230"/>
      <c r="L492" s="231"/>
    </row>
    <row r="493">
      <c r="A493" s="233"/>
      <c r="B493" s="206"/>
      <c r="C493" s="205"/>
      <c r="D493" s="206"/>
      <c r="E493" s="207"/>
      <c r="G493" s="234"/>
      <c r="H493" s="206"/>
      <c r="J493" s="224"/>
      <c r="K493" s="230"/>
      <c r="L493" s="231"/>
    </row>
    <row r="494">
      <c r="A494" s="233"/>
      <c r="B494" s="206"/>
      <c r="C494" s="205"/>
      <c r="D494" s="206"/>
      <c r="E494" s="207"/>
      <c r="G494" s="234"/>
      <c r="H494" s="206"/>
      <c r="J494" s="224"/>
      <c r="K494" s="230"/>
      <c r="L494" s="231"/>
    </row>
    <row r="495">
      <c r="A495" s="233"/>
      <c r="B495" s="206"/>
      <c r="C495" s="205"/>
      <c r="D495" s="206"/>
      <c r="E495" s="207"/>
      <c r="G495" s="234"/>
      <c r="H495" s="206"/>
      <c r="J495" s="224"/>
      <c r="K495" s="230"/>
      <c r="L495" s="231"/>
    </row>
    <row r="496">
      <c r="A496" s="233"/>
      <c r="B496" s="206"/>
      <c r="C496" s="205"/>
      <c r="D496" s="206"/>
      <c r="E496" s="207"/>
      <c r="G496" s="234"/>
      <c r="H496" s="206"/>
      <c r="J496" s="224"/>
      <c r="K496" s="230"/>
      <c r="L496" s="231"/>
    </row>
    <row r="497">
      <c r="A497" s="233"/>
      <c r="B497" s="206"/>
      <c r="C497" s="205"/>
      <c r="D497" s="206"/>
      <c r="E497" s="207"/>
      <c r="G497" s="234"/>
      <c r="H497" s="206"/>
      <c r="J497" s="224"/>
      <c r="K497" s="230"/>
      <c r="L497" s="231"/>
    </row>
    <row r="498">
      <c r="A498" s="233"/>
      <c r="B498" s="206"/>
      <c r="C498" s="205"/>
      <c r="D498" s="206"/>
      <c r="E498" s="207"/>
      <c r="G498" s="234"/>
      <c r="H498" s="206"/>
      <c r="J498" s="224"/>
      <c r="K498" s="230"/>
      <c r="L498" s="231"/>
    </row>
    <row r="499">
      <c r="A499" s="233"/>
      <c r="B499" s="206"/>
      <c r="C499" s="205"/>
      <c r="D499" s="206"/>
      <c r="E499" s="207"/>
      <c r="G499" s="234"/>
      <c r="H499" s="206"/>
      <c r="J499" s="224"/>
      <c r="K499" s="230"/>
      <c r="L499" s="231"/>
    </row>
    <row r="500">
      <c r="A500" s="233"/>
      <c r="B500" s="206"/>
      <c r="C500" s="205"/>
      <c r="D500" s="206"/>
      <c r="E500" s="207"/>
      <c r="G500" s="234"/>
      <c r="H500" s="206"/>
      <c r="J500" s="224"/>
      <c r="K500" s="230"/>
      <c r="L500" s="231"/>
    </row>
    <row r="501">
      <c r="A501" s="233"/>
      <c r="B501" s="206"/>
      <c r="C501" s="205"/>
      <c r="D501" s="206"/>
      <c r="E501" s="207"/>
      <c r="G501" s="234"/>
      <c r="H501" s="206"/>
      <c r="J501" s="224"/>
      <c r="K501" s="230"/>
      <c r="L501" s="231"/>
    </row>
    <row r="502">
      <c r="A502" s="233"/>
      <c r="B502" s="206"/>
      <c r="C502" s="205"/>
      <c r="D502" s="206"/>
      <c r="E502" s="207"/>
      <c r="G502" s="234"/>
      <c r="H502" s="206"/>
      <c r="J502" s="224"/>
      <c r="K502" s="230"/>
      <c r="L502" s="231"/>
    </row>
    <row r="503">
      <c r="A503" s="233"/>
      <c r="B503" s="206"/>
      <c r="C503" s="205"/>
      <c r="D503" s="206"/>
      <c r="E503" s="207"/>
      <c r="G503" s="234"/>
      <c r="H503" s="206"/>
      <c r="J503" s="224"/>
      <c r="K503" s="230"/>
      <c r="L503" s="231"/>
    </row>
    <row r="504">
      <c r="A504" s="233"/>
      <c r="B504" s="206"/>
      <c r="C504" s="205"/>
      <c r="D504" s="206"/>
      <c r="E504" s="207"/>
      <c r="G504" s="234"/>
      <c r="H504" s="206"/>
      <c r="J504" s="224"/>
      <c r="K504" s="230"/>
      <c r="L504" s="231"/>
    </row>
    <row r="505">
      <c r="A505" s="233"/>
      <c r="B505" s="206"/>
      <c r="C505" s="205"/>
      <c r="D505" s="206"/>
      <c r="E505" s="207"/>
      <c r="G505" s="234"/>
      <c r="H505" s="206"/>
      <c r="J505" s="224"/>
      <c r="K505" s="230"/>
      <c r="L505" s="231"/>
    </row>
    <row r="506">
      <c r="A506" s="233"/>
      <c r="B506" s="206"/>
      <c r="C506" s="205"/>
      <c r="D506" s="206"/>
      <c r="E506" s="207"/>
      <c r="G506" s="234"/>
      <c r="H506" s="206"/>
      <c r="J506" s="224"/>
      <c r="K506" s="230"/>
      <c r="L506" s="231"/>
    </row>
    <row r="507">
      <c r="A507" s="233"/>
      <c r="B507" s="206"/>
      <c r="C507" s="205"/>
      <c r="D507" s="206"/>
      <c r="E507" s="207"/>
      <c r="G507" s="234"/>
      <c r="H507" s="206"/>
      <c r="J507" s="224"/>
      <c r="K507" s="230"/>
      <c r="L507" s="231"/>
    </row>
    <row r="508">
      <c r="A508" s="233"/>
      <c r="B508" s="206"/>
      <c r="C508" s="205"/>
      <c r="D508" s="206"/>
      <c r="E508" s="207"/>
      <c r="G508" s="234"/>
      <c r="H508" s="206"/>
      <c r="J508" s="224"/>
      <c r="K508" s="230"/>
      <c r="L508" s="231"/>
    </row>
    <row r="509">
      <c r="A509" s="233"/>
      <c r="B509" s="206"/>
      <c r="C509" s="205"/>
      <c r="D509" s="206"/>
      <c r="E509" s="207"/>
      <c r="G509" s="234"/>
      <c r="H509" s="206"/>
      <c r="J509" s="224"/>
      <c r="K509" s="230"/>
      <c r="L509" s="231"/>
    </row>
    <row r="510">
      <c r="A510" s="233"/>
      <c r="B510" s="206"/>
      <c r="C510" s="205"/>
      <c r="D510" s="206"/>
      <c r="E510" s="207"/>
      <c r="G510" s="234"/>
      <c r="H510" s="206"/>
      <c r="J510" s="224"/>
      <c r="K510" s="230"/>
      <c r="L510" s="231"/>
    </row>
    <row r="511">
      <c r="A511" s="233"/>
      <c r="B511" s="206"/>
      <c r="C511" s="205"/>
      <c r="D511" s="206"/>
      <c r="E511" s="207"/>
      <c r="G511" s="234"/>
      <c r="H511" s="206"/>
      <c r="J511" s="224"/>
      <c r="K511" s="230"/>
      <c r="L511" s="231"/>
    </row>
    <row r="512">
      <c r="A512" s="233"/>
      <c r="B512" s="206"/>
      <c r="C512" s="205"/>
      <c r="D512" s="206"/>
      <c r="E512" s="207"/>
      <c r="G512" s="234"/>
      <c r="H512" s="206"/>
      <c r="J512" s="224"/>
      <c r="K512" s="230"/>
      <c r="L512" s="231"/>
    </row>
    <row r="513">
      <c r="A513" s="233"/>
      <c r="B513" s="206"/>
      <c r="C513" s="205"/>
      <c r="D513" s="206"/>
      <c r="E513" s="207"/>
      <c r="G513" s="234"/>
      <c r="H513" s="206"/>
      <c r="J513" s="224"/>
      <c r="K513" s="230"/>
      <c r="L513" s="231"/>
    </row>
    <row r="514">
      <c r="A514" s="233"/>
      <c r="B514" s="206"/>
      <c r="C514" s="205"/>
      <c r="D514" s="206"/>
      <c r="E514" s="207"/>
      <c r="G514" s="234"/>
      <c r="H514" s="206"/>
      <c r="J514" s="224"/>
      <c r="K514" s="230"/>
      <c r="L514" s="231"/>
    </row>
    <row r="515">
      <c r="A515" s="233"/>
      <c r="B515" s="206"/>
      <c r="C515" s="205"/>
      <c r="D515" s="206"/>
      <c r="E515" s="207"/>
      <c r="G515" s="234"/>
      <c r="H515" s="206"/>
      <c r="J515" s="224"/>
      <c r="K515" s="230"/>
      <c r="L515" s="231"/>
    </row>
    <row r="516">
      <c r="A516" s="233"/>
      <c r="B516" s="206"/>
      <c r="C516" s="205"/>
      <c r="D516" s="206"/>
      <c r="E516" s="207"/>
      <c r="G516" s="234"/>
      <c r="H516" s="206"/>
      <c r="J516" s="224"/>
      <c r="K516" s="230"/>
      <c r="L516" s="231"/>
    </row>
    <row r="517">
      <c r="A517" s="233"/>
      <c r="B517" s="206"/>
      <c r="C517" s="205"/>
      <c r="D517" s="206"/>
      <c r="E517" s="207"/>
      <c r="G517" s="234"/>
      <c r="H517" s="206"/>
      <c r="J517" s="224"/>
      <c r="K517" s="230"/>
      <c r="L517" s="231"/>
    </row>
    <row r="518">
      <c r="A518" s="233"/>
      <c r="B518" s="206"/>
      <c r="C518" s="205"/>
      <c r="D518" s="206"/>
      <c r="E518" s="207"/>
      <c r="G518" s="234"/>
      <c r="H518" s="206"/>
      <c r="J518" s="224"/>
      <c r="K518" s="230"/>
      <c r="L518" s="231"/>
    </row>
    <row r="519">
      <c r="A519" s="233"/>
      <c r="B519" s="206"/>
      <c r="C519" s="205"/>
      <c r="D519" s="206"/>
      <c r="E519" s="207"/>
      <c r="G519" s="234"/>
      <c r="H519" s="206"/>
      <c r="J519" s="224"/>
      <c r="K519" s="230"/>
      <c r="L519" s="231"/>
    </row>
    <row r="520">
      <c r="A520" s="233"/>
      <c r="B520" s="206"/>
      <c r="C520" s="205"/>
      <c r="D520" s="206"/>
      <c r="E520" s="207"/>
      <c r="G520" s="234"/>
      <c r="H520" s="206"/>
      <c r="J520" s="224"/>
      <c r="K520" s="230"/>
      <c r="L520" s="231"/>
    </row>
    <row r="521">
      <c r="A521" s="233"/>
      <c r="B521" s="206"/>
      <c r="C521" s="205"/>
      <c r="D521" s="206"/>
      <c r="E521" s="207"/>
      <c r="G521" s="234"/>
      <c r="H521" s="206"/>
      <c r="J521" s="224"/>
      <c r="K521" s="230"/>
      <c r="L521" s="231"/>
    </row>
    <row r="522">
      <c r="A522" s="233"/>
      <c r="B522" s="206"/>
      <c r="C522" s="205"/>
      <c r="D522" s="206"/>
      <c r="E522" s="207"/>
      <c r="G522" s="234"/>
      <c r="H522" s="206"/>
      <c r="J522" s="224"/>
      <c r="K522" s="230"/>
      <c r="L522" s="231"/>
    </row>
    <row r="523">
      <c r="A523" s="233"/>
      <c r="B523" s="206"/>
      <c r="C523" s="205"/>
      <c r="D523" s="206"/>
      <c r="E523" s="207"/>
      <c r="G523" s="234"/>
      <c r="H523" s="206"/>
      <c r="J523" s="224"/>
      <c r="K523" s="230"/>
      <c r="L523" s="231"/>
    </row>
    <row r="524">
      <c r="A524" s="233"/>
      <c r="B524" s="206"/>
      <c r="C524" s="205"/>
      <c r="D524" s="206"/>
      <c r="E524" s="207"/>
      <c r="G524" s="234"/>
      <c r="H524" s="206"/>
      <c r="J524" s="224"/>
      <c r="K524" s="230"/>
      <c r="L524" s="231"/>
    </row>
    <row r="525">
      <c r="A525" s="233"/>
      <c r="B525" s="206"/>
      <c r="C525" s="205"/>
      <c r="D525" s="206"/>
      <c r="E525" s="207"/>
      <c r="G525" s="234"/>
      <c r="H525" s="206"/>
      <c r="J525" s="224"/>
      <c r="K525" s="230"/>
      <c r="L525" s="231"/>
    </row>
    <row r="526">
      <c r="A526" s="233"/>
      <c r="B526" s="206"/>
      <c r="C526" s="205"/>
      <c r="D526" s="206"/>
      <c r="E526" s="207"/>
      <c r="G526" s="234"/>
      <c r="H526" s="206"/>
      <c r="J526" s="224"/>
      <c r="K526" s="230"/>
      <c r="L526" s="231"/>
    </row>
    <row r="527">
      <c r="A527" s="233"/>
      <c r="B527" s="206"/>
      <c r="C527" s="205"/>
      <c r="D527" s="206"/>
      <c r="E527" s="207"/>
      <c r="G527" s="234"/>
      <c r="H527" s="206"/>
      <c r="J527" s="224"/>
      <c r="K527" s="230"/>
      <c r="L527" s="231"/>
    </row>
    <row r="528">
      <c r="A528" s="233"/>
      <c r="B528" s="206"/>
      <c r="C528" s="205"/>
      <c r="D528" s="206"/>
      <c r="E528" s="207"/>
      <c r="G528" s="234"/>
      <c r="H528" s="206"/>
      <c r="J528" s="224"/>
      <c r="K528" s="230"/>
      <c r="L528" s="231"/>
    </row>
    <row r="529">
      <c r="A529" s="233"/>
      <c r="B529" s="206"/>
      <c r="C529" s="205"/>
      <c r="D529" s="206"/>
      <c r="E529" s="207"/>
      <c r="G529" s="234"/>
      <c r="H529" s="206"/>
      <c r="J529" s="224"/>
      <c r="K529" s="230"/>
      <c r="L529" s="231"/>
    </row>
    <row r="530">
      <c r="A530" s="233"/>
      <c r="B530" s="206"/>
      <c r="C530" s="205"/>
      <c r="D530" s="206"/>
      <c r="E530" s="207"/>
      <c r="G530" s="234"/>
      <c r="H530" s="206"/>
      <c r="J530" s="224"/>
      <c r="K530" s="230"/>
      <c r="L530" s="231"/>
    </row>
    <row r="531">
      <c r="A531" s="233"/>
      <c r="B531" s="206"/>
      <c r="C531" s="205"/>
      <c r="D531" s="206"/>
      <c r="E531" s="207"/>
      <c r="G531" s="234"/>
      <c r="H531" s="206"/>
      <c r="J531" s="224"/>
      <c r="K531" s="230"/>
      <c r="L531" s="231"/>
    </row>
    <row r="532">
      <c r="A532" s="233"/>
      <c r="B532" s="206"/>
      <c r="C532" s="205"/>
      <c r="D532" s="206"/>
      <c r="E532" s="207"/>
      <c r="G532" s="234"/>
      <c r="H532" s="206"/>
      <c r="J532" s="224"/>
      <c r="K532" s="230"/>
      <c r="L532" s="231"/>
    </row>
    <row r="533">
      <c r="A533" s="233"/>
      <c r="B533" s="206"/>
      <c r="C533" s="205"/>
      <c r="D533" s="206"/>
      <c r="E533" s="207"/>
      <c r="G533" s="234"/>
      <c r="H533" s="206"/>
      <c r="J533" s="224"/>
      <c r="K533" s="230"/>
      <c r="L533" s="231"/>
    </row>
    <row r="534">
      <c r="A534" s="233"/>
      <c r="B534" s="206"/>
      <c r="C534" s="205"/>
      <c r="D534" s="206"/>
      <c r="E534" s="207"/>
      <c r="G534" s="234"/>
      <c r="H534" s="206"/>
      <c r="J534" s="224"/>
      <c r="K534" s="230"/>
      <c r="L534" s="231"/>
    </row>
    <row r="535">
      <c r="A535" s="233"/>
      <c r="B535" s="206"/>
      <c r="C535" s="205"/>
      <c r="D535" s="206"/>
      <c r="E535" s="207"/>
      <c r="G535" s="234"/>
      <c r="H535" s="206"/>
      <c r="J535" s="224"/>
      <c r="K535" s="230"/>
      <c r="L535" s="231"/>
    </row>
    <row r="536">
      <c r="A536" s="233"/>
      <c r="B536" s="206"/>
      <c r="C536" s="205"/>
      <c r="D536" s="206"/>
      <c r="E536" s="207"/>
      <c r="G536" s="234"/>
      <c r="H536" s="206"/>
      <c r="J536" s="224"/>
      <c r="K536" s="230"/>
      <c r="L536" s="231"/>
    </row>
    <row r="537">
      <c r="A537" s="233"/>
      <c r="B537" s="206"/>
      <c r="C537" s="205"/>
      <c r="D537" s="206"/>
      <c r="E537" s="207"/>
      <c r="G537" s="234"/>
      <c r="H537" s="206"/>
      <c r="J537" s="224"/>
      <c r="K537" s="230"/>
      <c r="L537" s="231"/>
    </row>
    <row r="538">
      <c r="A538" s="233"/>
      <c r="B538" s="206"/>
      <c r="C538" s="205"/>
      <c r="D538" s="206"/>
      <c r="E538" s="207"/>
      <c r="G538" s="234"/>
      <c r="H538" s="206"/>
      <c r="J538" s="224"/>
      <c r="K538" s="230"/>
      <c r="L538" s="231"/>
    </row>
    <row r="539">
      <c r="A539" s="233"/>
      <c r="B539" s="206"/>
      <c r="C539" s="205"/>
      <c r="D539" s="206"/>
      <c r="E539" s="207"/>
      <c r="G539" s="234"/>
      <c r="H539" s="206"/>
      <c r="J539" s="224"/>
      <c r="K539" s="230"/>
      <c r="L539" s="231"/>
    </row>
    <row r="540">
      <c r="A540" s="233"/>
      <c r="B540" s="206"/>
      <c r="C540" s="205"/>
      <c r="D540" s="206"/>
      <c r="E540" s="207"/>
      <c r="G540" s="234"/>
      <c r="H540" s="206"/>
      <c r="J540" s="224"/>
      <c r="K540" s="230"/>
      <c r="L540" s="231"/>
    </row>
    <row r="541">
      <c r="A541" s="233"/>
      <c r="B541" s="206"/>
      <c r="C541" s="205"/>
      <c r="D541" s="206"/>
      <c r="E541" s="207"/>
      <c r="G541" s="234"/>
      <c r="H541" s="206"/>
      <c r="J541" s="224"/>
      <c r="K541" s="230"/>
      <c r="L541" s="231"/>
    </row>
    <row r="542">
      <c r="A542" s="233"/>
      <c r="B542" s="206"/>
      <c r="C542" s="205"/>
      <c r="D542" s="206"/>
      <c r="E542" s="207"/>
      <c r="G542" s="234"/>
      <c r="H542" s="206"/>
      <c r="J542" s="224"/>
      <c r="K542" s="230"/>
      <c r="L542" s="231"/>
    </row>
    <row r="543">
      <c r="A543" s="233"/>
      <c r="B543" s="206"/>
      <c r="C543" s="205"/>
      <c r="D543" s="206"/>
      <c r="E543" s="207"/>
      <c r="G543" s="234"/>
      <c r="H543" s="206"/>
      <c r="J543" s="224"/>
      <c r="K543" s="230"/>
      <c r="L543" s="231"/>
    </row>
    <row r="544">
      <c r="A544" s="233"/>
      <c r="B544" s="206"/>
      <c r="C544" s="205"/>
      <c r="D544" s="206"/>
      <c r="E544" s="207"/>
      <c r="G544" s="234"/>
      <c r="H544" s="206"/>
      <c r="J544" s="224"/>
      <c r="K544" s="230"/>
      <c r="L544" s="231"/>
    </row>
    <row r="545">
      <c r="A545" s="233"/>
      <c r="B545" s="206"/>
      <c r="C545" s="205"/>
      <c r="D545" s="206"/>
      <c r="E545" s="207"/>
      <c r="G545" s="234"/>
      <c r="H545" s="206"/>
      <c r="J545" s="224"/>
      <c r="K545" s="230"/>
      <c r="L545" s="231"/>
    </row>
    <row r="546">
      <c r="A546" s="233"/>
      <c r="B546" s="206"/>
      <c r="C546" s="205"/>
      <c r="D546" s="206"/>
      <c r="E546" s="207"/>
      <c r="G546" s="234"/>
      <c r="H546" s="206"/>
      <c r="J546" s="224"/>
      <c r="K546" s="230"/>
      <c r="L546" s="231"/>
    </row>
    <row r="547">
      <c r="A547" s="233"/>
      <c r="B547" s="206"/>
      <c r="C547" s="205"/>
      <c r="D547" s="206"/>
      <c r="E547" s="207"/>
      <c r="G547" s="234"/>
      <c r="H547" s="206"/>
      <c r="J547" s="224"/>
      <c r="K547" s="230"/>
      <c r="L547" s="231"/>
    </row>
    <row r="548">
      <c r="A548" s="233"/>
      <c r="B548" s="206"/>
      <c r="C548" s="205"/>
      <c r="D548" s="206"/>
      <c r="E548" s="207"/>
      <c r="G548" s="234"/>
      <c r="H548" s="206"/>
      <c r="J548" s="224"/>
      <c r="K548" s="230"/>
      <c r="L548" s="231"/>
    </row>
    <row r="549">
      <c r="A549" s="233"/>
      <c r="B549" s="206"/>
      <c r="C549" s="205"/>
      <c r="D549" s="206"/>
      <c r="E549" s="207"/>
      <c r="G549" s="234"/>
      <c r="H549" s="206"/>
      <c r="J549" s="224"/>
      <c r="K549" s="230"/>
      <c r="L549" s="231"/>
    </row>
    <row r="550">
      <c r="A550" s="233"/>
      <c r="B550" s="206"/>
      <c r="C550" s="205"/>
      <c r="D550" s="206"/>
      <c r="E550" s="207"/>
      <c r="G550" s="234"/>
      <c r="H550" s="206"/>
      <c r="J550" s="224"/>
      <c r="K550" s="230"/>
      <c r="L550" s="231"/>
    </row>
    <row r="551">
      <c r="A551" s="233"/>
      <c r="B551" s="206"/>
      <c r="C551" s="205"/>
      <c r="D551" s="206"/>
      <c r="E551" s="207"/>
      <c r="G551" s="234"/>
      <c r="H551" s="206"/>
      <c r="J551" s="224"/>
      <c r="K551" s="230"/>
      <c r="L551" s="231"/>
    </row>
    <row r="552">
      <c r="A552" s="233"/>
      <c r="B552" s="206"/>
      <c r="C552" s="205"/>
      <c r="D552" s="206"/>
      <c r="E552" s="207"/>
      <c r="G552" s="234"/>
      <c r="H552" s="206"/>
      <c r="J552" s="224"/>
      <c r="K552" s="230"/>
      <c r="L552" s="231"/>
    </row>
    <row r="553">
      <c r="A553" s="233"/>
      <c r="B553" s="206"/>
      <c r="C553" s="205"/>
      <c r="D553" s="206"/>
      <c r="E553" s="207"/>
      <c r="G553" s="234"/>
      <c r="H553" s="206"/>
      <c r="J553" s="224"/>
      <c r="K553" s="230"/>
      <c r="L553" s="231"/>
    </row>
    <row r="554">
      <c r="A554" s="233"/>
      <c r="B554" s="206"/>
      <c r="C554" s="205"/>
      <c r="D554" s="206"/>
      <c r="E554" s="207"/>
      <c r="G554" s="234"/>
      <c r="H554" s="206"/>
      <c r="J554" s="224"/>
      <c r="K554" s="230"/>
      <c r="L554" s="231"/>
    </row>
    <row r="555">
      <c r="A555" s="233"/>
      <c r="B555" s="206"/>
      <c r="C555" s="205"/>
      <c r="D555" s="206"/>
      <c r="E555" s="207"/>
      <c r="G555" s="234"/>
      <c r="H555" s="206"/>
      <c r="J555" s="224"/>
      <c r="K555" s="230"/>
      <c r="L555" s="231"/>
    </row>
    <row r="556">
      <c r="A556" s="233"/>
      <c r="B556" s="206"/>
      <c r="C556" s="205"/>
      <c r="D556" s="206"/>
      <c r="E556" s="207"/>
      <c r="G556" s="234"/>
      <c r="H556" s="206"/>
      <c r="J556" s="224"/>
      <c r="K556" s="230"/>
      <c r="L556" s="231"/>
    </row>
    <row r="557">
      <c r="A557" s="233"/>
      <c r="B557" s="206"/>
      <c r="C557" s="205"/>
      <c r="D557" s="206"/>
      <c r="E557" s="207"/>
      <c r="G557" s="234"/>
      <c r="H557" s="206"/>
      <c r="J557" s="224"/>
      <c r="K557" s="230"/>
      <c r="L557" s="231"/>
    </row>
    <row r="558">
      <c r="A558" s="233"/>
      <c r="B558" s="206"/>
      <c r="C558" s="205"/>
      <c r="D558" s="206"/>
      <c r="E558" s="207"/>
      <c r="G558" s="234"/>
      <c r="H558" s="206"/>
      <c r="J558" s="224"/>
      <c r="K558" s="230"/>
      <c r="L558" s="231"/>
    </row>
    <row r="559">
      <c r="A559" s="233"/>
      <c r="B559" s="206"/>
      <c r="C559" s="205"/>
      <c r="D559" s="206"/>
      <c r="E559" s="207"/>
      <c r="G559" s="234"/>
      <c r="H559" s="206"/>
      <c r="J559" s="224"/>
      <c r="K559" s="230"/>
      <c r="L559" s="231"/>
    </row>
    <row r="560">
      <c r="A560" s="233"/>
      <c r="B560" s="206"/>
      <c r="C560" s="205"/>
      <c r="D560" s="206"/>
      <c r="E560" s="207"/>
      <c r="G560" s="234"/>
      <c r="H560" s="206"/>
      <c r="J560" s="224"/>
      <c r="K560" s="230"/>
      <c r="L560" s="231"/>
    </row>
    <row r="561">
      <c r="A561" s="233"/>
      <c r="B561" s="206"/>
      <c r="C561" s="205"/>
      <c r="D561" s="206"/>
      <c r="E561" s="207"/>
      <c r="G561" s="234"/>
      <c r="H561" s="206"/>
      <c r="J561" s="224"/>
      <c r="K561" s="230"/>
      <c r="L561" s="231"/>
    </row>
    <row r="562">
      <c r="A562" s="233"/>
      <c r="B562" s="206"/>
      <c r="C562" s="205"/>
      <c r="D562" s="206"/>
      <c r="E562" s="207"/>
      <c r="G562" s="234"/>
      <c r="H562" s="206"/>
      <c r="J562" s="224"/>
      <c r="K562" s="230"/>
      <c r="L562" s="231"/>
    </row>
    <row r="563">
      <c r="A563" s="233"/>
      <c r="B563" s="206"/>
      <c r="C563" s="205"/>
      <c r="D563" s="206"/>
      <c r="E563" s="207"/>
      <c r="G563" s="234"/>
      <c r="H563" s="206"/>
      <c r="J563" s="224"/>
      <c r="K563" s="230"/>
      <c r="L563" s="231"/>
    </row>
    <row r="564">
      <c r="A564" s="233"/>
      <c r="B564" s="206"/>
      <c r="C564" s="205"/>
      <c r="D564" s="206"/>
      <c r="E564" s="207"/>
      <c r="G564" s="234"/>
      <c r="H564" s="206"/>
      <c r="J564" s="224"/>
      <c r="K564" s="230"/>
      <c r="L564" s="231"/>
    </row>
    <row r="565">
      <c r="A565" s="233"/>
      <c r="B565" s="206"/>
      <c r="C565" s="205"/>
      <c r="D565" s="206"/>
      <c r="E565" s="207"/>
      <c r="G565" s="234"/>
      <c r="H565" s="206"/>
      <c r="J565" s="224"/>
      <c r="K565" s="230"/>
      <c r="L565" s="231"/>
    </row>
    <row r="566">
      <c r="A566" s="233"/>
      <c r="B566" s="206"/>
      <c r="C566" s="205"/>
      <c r="D566" s="206"/>
      <c r="E566" s="207"/>
      <c r="G566" s="234"/>
      <c r="H566" s="206"/>
      <c r="J566" s="224"/>
      <c r="K566" s="230"/>
      <c r="L566" s="231"/>
    </row>
    <row r="567">
      <c r="A567" s="233"/>
      <c r="B567" s="206"/>
      <c r="C567" s="205"/>
      <c r="D567" s="206"/>
      <c r="E567" s="207"/>
      <c r="G567" s="234"/>
      <c r="H567" s="206"/>
      <c r="J567" s="224"/>
      <c r="K567" s="230"/>
      <c r="L567" s="231"/>
    </row>
    <row r="568">
      <c r="A568" s="233"/>
      <c r="B568" s="206"/>
      <c r="C568" s="205"/>
      <c r="D568" s="206"/>
      <c r="E568" s="207"/>
      <c r="G568" s="234"/>
      <c r="H568" s="206"/>
      <c r="J568" s="224"/>
      <c r="K568" s="230"/>
      <c r="L568" s="231"/>
    </row>
    <row r="569">
      <c r="A569" s="233"/>
      <c r="B569" s="206"/>
      <c r="C569" s="205"/>
      <c r="D569" s="206"/>
      <c r="E569" s="207"/>
      <c r="G569" s="234"/>
      <c r="H569" s="206"/>
      <c r="J569" s="224"/>
      <c r="K569" s="230"/>
      <c r="L569" s="231"/>
    </row>
    <row r="570">
      <c r="A570" s="233"/>
      <c r="B570" s="206"/>
      <c r="C570" s="205"/>
      <c r="D570" s="206"/>
      <c r="E570" s="207"/>
      <c r="G570" s="234"/>
      <c r="H570" s="206"/>
      <c r="J570" s="224"/>
      <c r="K570" s="230"/>
      <c r="L570" s="231"/>
    </row>
    <row r="571">
      <c r="A571" s="233"/>
      <c r="B571" s="206"/>
      <c r="C571" s="205"/>
      <c r="D571" s="206"/>
      <c r="E571" s="207"/>
      <c r="G571" s="234"/>
      <c r="H571" s="206"/>
      <c r="J571" s="224"/>
      <c r="K571" s="230"/>
      <c r="L571" s="231"/>
    </row>
    <row r="572">
      <c r="A572" s="233"/>
      <c r="B572" s="206"/>
      <c r="C572" s="205"/>
      <c r="D572" s="206"/>
      <c r="E572" s="207"/>
      <c r="G572" s="234"/>
      <c r="H572" s="206"/>
      <c r="J572" s="224"/>
      <c r="K572" s="230"/>
      <c r="L572" s="231"/>
    </row>
    <row r="573">
      <c r="A573" s="233"/>
      <c r="B573" s="206"/>
      <c r="C573" s="205"/>
      <c r="D573" s="206"/>
      <c r="E573" s="207"/>
      <c r="G573" s="234"/>
      <c r="H573" s="206"/>
      <c r="J573" s="224"/>
      <c r="K573" s="230"/>
      <c r="L573" s="231"/>
    </row>
    <row r="574">
      <c r="A574" s="233"/>
      <c r="B574" s="206"/>
      <c r="C574" s="205"/>
      <c r="D574" s="206"/>
      <c r="E574" s="207"/>
      <c r="G574" s="234"/>
      <c r="H574" s="206"/>
      <c r="J574" s="224"/>
      <c r="K574" s="230"/>
      <c r="L574" s="231"/>
    </row>
    <row r="575">
      <c r="A575" s="233"/>
      <c r="B575" s="206"/>
      <c r="C575" s="205"/>
      <c r="D575" s="206"/>
      <c r="E575" s="207"/>
      <c r="G575" s="234"/>
      <c r="H575" s="206"/>
      <c r="J575" s="224"/>
      <c r="K575" s="230"/>
      <c r="L575" s="231"/>
    </row>
    <row r="576">
      <c r="A576" s="233"/>
      <c r="B576" s="206"/>
      <c r="C576" s="205"/>
      <c r="D576" s="206"/>
      <c r="E576" s="207"/>
      <c r="G576" s="234"/>
      <c r="H576" s="206"/>
      <c r="J576" s="224"/>
      <c r="K576" s="230"/>
      <c r="L576" s="231"/>
    </row>
    <row r="577">
      <c r="A577" s="233"/>
      <c r="B577" s="206"/>
      <c r="C577" s="205"/>
      <c r="D577" s="206"/>
      <c r="E577" s="207"/>
      <c r="G577" s="234"/>
      <c r="H577" s="206"/>
      <c r="J577" s="224"/>
      <c r="K577" s="230"/>
      <c r="L577" s="231"/>
    </row>
    <row r="578">
      <c r="A578" s="233"/>
      <c r="B578" s="206"/>
      <c r="C578" s="205"/>
      <c r="D578" s="206"/>
      <c r="E578" s="207"/>
      <c r="G578" s="234"/>
      <c r="H578" s="206"/>
      <c r="J578" s="224"/>
      <c r="K578" s="230"/>
      <c r="L578" s="231"/>
    </row>
    <row r="579">
      <c r="A579" s="233"/>
      <c r="B579" s="206"/>
      <c r="C579" s="205"/>
      <c r="D579" s="206"/>
      <c r="E579" s="207"/>
      <c r="G579" s="234"/>
      <c r="H579" s="206"/>
      <c r="J579" s="224"/>
      <c r="K579" s="230"/>
      <c r="L579" s="231"/>
    </row>
    <row r="580">
      <c r="A580" s="233"/>
      <c r="B580" s="206"/>
      <c r="C580" s="205"/>
      <c r="D580" s="206"/>
      <c r="E580" s="207"/>
      <c r="G580" s="234"/>
      <c r="H580" s="206"/>
      <c r="J580" s="224"/>
      <c r="K580" s="230"/>
      <c r="L580" s="231"/>
    </row>
    <row r="581">
      <c r="A581" s="233"/>
      <c r="B581" s="206"/>
      <c r="C581" s="205"/>
      <c r="D581" s="206"/>
      <c r="E581" s="207"/>
      <c r="G581" s="234"/>
      <c r="H581" s="206"/>
      <c r="J581" s="224"/>
      <c r="K581" s="230"/>
      <c r="L581" s="231"/>
    </row>
    <row r="582">
      <c r="A582" s="233"/>
      <c r="B582" s="206"/>
      <c r="C582" s="205"/>
      <c r="D582" s="206"/>
      <c r="E582" s="207"/>
      <c r="G582" s="234"/>
      <c r="H582" s="206"/>
      <c r="J582" s="224"/>
      <c r="K582" s="230"/>
      <c r="L582" s="231"/>
    </row>
    <row r="583">
      <c r="A583" s="233"/>
      <c r="B583" s="206"/>
      <c r="C583" s="205"/>
      <c r="D583" s="206"/>
      <c r="E583" s="207"/>
      <c r="G583" s="234"/>
      <c r="H583" s="206"/>
      <c r="J583" s="224"/>
      <c r="K583" s="230"/>
      <c r="L583" s="231"/>
    </row>
    <row r="584">
      <c r="A584" s="233"/>
      <c r="B584" s="206"/>
      <c r="C584" s="205"/>
      <c r="D584" s="206"/>
      <c r="E584" s="207"/>
      <c r="G584" s="234"/>
      <c r="H584" s="206"/>
      <c r="J584" s="224"/>
      <c r="K584" s="230"/>
      <c r="L584" s="231"/>
    </row>
    <row r="585">
      <c r="A585" s="233"/>
      <c r="B585" s="206"/>
      <c r="C585" s="205"/>
      <c r="D585" s="206"/>
      <c r="E585" s="207"/>
      <c r="G585" s="234"/>
      <c r="H585" s="206"/>
      <c r="J585" s="224"/>
      <c r="K585" s="230"/>
      <c r="L585" s="231"/>
    </row>
    <row r="586">
      <c r="A586" s="233"/>
      <c r="B586" s="206"/>
      <c r="C586" s="205"/>
      <c r="D586" s="206"/>
      <c r="E586" s="207"/>
      <c r="G586" s="234"/>
      <c r="H586" s="206"/>
      <c r="J586" s="224"/>
      <c r="K586" s="230"/>
      <c r="L586" s="231"/>
    </row>
    <row r="587">
      <c r="A587" s="233"/>
      <c r="B587" s="206"/>
      <c r="C587" s="205"/>
      <c r="D587" s="206"/>
      <c r="E587" s="207"/>
      <c r="G587" s="234"/>
      <c r="H587" s="206"/>
      <c r="J587" s="224"/>
      <c r="K587" s="230"/>
      <c r="L587" s="231"/>
    </row>
    <row r="588">
      <c r="A588" s="233"/>
      <c r="B588" s="206"/>
      <c r="C588" s="205"/>
      <c r="D588" s="206"/>
      <c r="E588" s="207"/>
      <c r="G588" s="234"/>
      <c r="H588" s="206"/>
      <c r="J588" s="224"/>
      <c r="K588" s="230"/>
      <c r="L588" s="231"/>
    </row>
    <row r="589">
      <c r="A589" s="233"/>
      <c r="B589" s="206"/>
      <c r="C589" s="205"/>
      <c r="D589" s="206"/>
      <c r="E589" s="207"/>
      <c r="G589" s="234"/>
      <c r="H589" s="206"/>
      <c r="J589" s="224"/>
      <c r="K589" s="230"/>
      <c r="L589" s="231"/>
    </row>
    <row r="590">
      <c r="A590" s="233"/>
      <c r="B590" s="206"/>
      <c r="C590" s="205"/>
      <c r="D590" s="206"/>
      <c r="E590" s="207"/>
      <c r="G590" s="234"/>
      <c r="H590" s="206"/>
      <c r="J590" s="224"/>
      <c r="K590" s="230"/>
      <c r="L590" s="231"/>
    </row>
    <row r="591">
      <c r="A591" s="233"/>
      <c r="B591" s="206"/>
      <c r="C591" s="205"/>
      <c r="D591" s="206"/>
      <c r="E591" s="207"/>
      <c r="G591" s="234"/>
      <c r="H591" s="206"/>
      <c r="J591" s="224"/>
      <c r="K591" s="230"/>
      <c r="L591" s="231"/>
    </row>
    <row r="592">
      <c r="A592" s="233"/>
      <c r="B592" s="206"/>
      <c r="C592" s="205"/>
      <c r="D592" s="206"/>
      <c r="E592" s="207"/>
      <c r="G592" s="234"/>
      <c r="H592" s="206"/>
      <c r="J592" s="224"/>
      <c r="K592" s="230"/>
      <c r="L592" s="231"/>
    </row>
    <row r="593">
      <c r="A593" s="233"/>
      <c r="B593" s="206"/>
      <c r="C593" s="205"/>
      <c r="D593" s="206"/>
      <c r="E593" s="207"/>
      <c r="G593" s="234"/>
      <c r="H593" s="206"/>
      <c r="J593" s="224"/>
      <c r="K593" s="230"/>
      <c r="L593" s="231"/>
    </row>
    <row r="594">
      <c r="A594" s="233"/>
      <c r="B594" s="206"/>
      <c r="C594" s="205"/>
      <c r="D594" s="206"/>
      <c r="E594" s="207"/>
      <c r="G594" s="234"/>
      <c r="H594" s="206"/>
      <c r="J594" s="224"/>
      <c r="K594" s="230"/>
      <c r="L594" s="231"/>
    </row>
    <row r="595">
      <c r="A595" s="233"/>
      <c r="B595" s="206"/>
      <c r="C595" s="205"/>
      <c r="D595" s="206"/>
      <c r="E595" s="207"/>
      <c r="G595" s="234"/>
      <c r="H595" s="206"/>
      <c r="J595" s="224"/>
      <c r="K595" s="230"/>
      <c r="L595" s="231"/>
    </row>
    <row r="596">
      <c r="A596" s="233"/>
      <c r="B596" s="206"/>
      <c r="C596" s="205"/>
      <c r="D596" s="206"/>
      <c r="E596" s="207"/>
      <c r="G596" s="234"/>
      <c r="H596" s="206"/>
      <c r="J596" s="224"/>
      <c r="K596" s="230"/>
      <c r="L596" s="231"/>
    </row>
    <row r="597">
      <c r="A597" s="233"/>
      <c r="B597" s="206"/>
      <c r="C597" s="205"/>
      <c r="D597" s="206"/>
      <c r="E597" s="207"/>
      <c r="G597" s="234"/>
      <c r="H597" s="206"/>
      <c r="J597" s="224"/>
      <c r="K597" s="230"/>
      <c r="L597" s="231"/>
    </row>
    <row r="598">
      <c r="A598" s="233"/>
      <c r="B598" s="206"/>
      <c r="C598" s="205"/>
      <c r="D598" s="206"/>
      <c r="E598" s="207"/>
      <c r="G598" s="234"/>
      <c r="H598" s="206"/>
      <c r="J598" s="224"/>
      <c r="K598" s="230"/>
      <c r="L598" s="231"/>
    </row>
    <row r="599">
      <c r="A599" s="233"/>
      <c r="B599" s="206"/>
      <c r="C599" s="205"/>
      <c r="D599" s="206"/>
      <c r="E599" s="207"/>
      <c r="G599" s="234"/>
      <c r="H599" s="206"/>
      <c r="J599" s="224"/>
      <c r="K599" s="230"/>
      <c r="L599" s="231"/>
    </row>
    <row r="600">
      <c r="A600" s="233"/>
      <c r="B600" s="206"/>
      <c r="C600" s="205"/>
      <c r="D600" s="206"/>
      <c r="E600" s="207"/>
      <c r="G600" s="234"/>
      <c r="H600" s="206"/>
      <c r="J600" s="224"/>
      <c r="K600" s="230"/>
      <c r="L600" s="231"/>
    </row>
    <row r="601">
      <c r="A601" s="233"/>
      <c r="B601" s="206"/>
      <c r="C601" s="205"/>
      <c r="D601" s="206"/>
      <c r="E601" s="207"/>
      <c r="G601" s="234"/>
      <c r="H601" s="206"/>
      <c r="J601" s="224"/>
      <c r="K601" s="230"/>
      <c r="L601" s="231"/>
    </row>
    <row r="602">
      <c r="A602" s="233"/>
      <c r="B602" s="206"/>
      <c r="C602" s="205"/>
      <c r="D602" s="206"/>
      <c r="E602" s="207"/>
      <c r="G602" s="234"/>
      <c r="H602" s="206"/>
      <c r="J602" s="224"/>
      <c r="K602" s="230"/>
      <c r="L602" s="231"/>
    </row>
    <row r="603">
      <c r="A603" s="233"/>
      <c r="B603" s="206"/>
      <c r="C603" s="205"/>
      <c r="D603" s="206"/>
      <c r="E603" s="207"/>
      <c r="G603" s="234"/>
      <c r="H603" s="206"/>
      <c r="J603" s="224"/>
      <c r="K603" s="230"/>
      <c r="L603" s="231"/>
    </row>
    <row r="604">
      <c r="A604" s="233"/>
      <c r="B604" s="206"/>
      <c r="C604" s="205"/>
      <c r="D604" s="206"/>
      <c r="E604" s="207"/>
      <c r="G604" s="234"/>
      <c r="H604" s="206"/>
      <c r="J604" s="224"/>
      <c r="K604" s="230"/>
      <c r="L604" s="231"/>
    </row>
    <row r="605">
      <c r="A605" s="233"/>
      <c r="B605" s="206"/>
      <c r="C605" s="205"/>
      <c r="D605" s="206"/>
      <c r="E605" s="207"/>
      <c r="G605" s="234"/>
      <c r="H605" s="206"/>
      <c r="J605" s="224"/>
      <c r="K605" s="230"/>
      <c r="L605" s="231"/>
    </row>
    <row r="606">
      <c r="A606" s="233"/>
      <c r="B606" s="206"/>
      <c r="C606" s="205"/>
      <c r="D606" s="206"/>
      <c r="E606" s="207"/>
      <c r="G606" s="234"/>
      <c r="H606" s="206"/>
      <c r="J606" s="224"/>
      <c r="K606" s="230"/>
      <c r="L606" s="231"/>
    </row>
    <row r="607">
      <c r="A607" s="233"/>
      <c r="B607" s="206"/>
      <c r="C607" s="205"/>
      <c r="D607" s="206"/>
      <c r="E607" s="207"/>
      <c r="G607" s="234"/>
      <c r="H607" s="206"/>
      <c r="J607" s="224"/>
      <c r="K607" s="230"/>
      <c r="L607" s="231"/>
    </row>
    <row r="608">
      <c r="A608" s="233"/>
      <c r="B608" s="206"/>
      <c r="C608" s="205"/>
      <c r="D608" s="206"/>
      <c r="E608" s="207"/>
      <c r="G608" s="234"/>
      <c r="H608" s="206"/>
      <c r="J608" s="224"/>
      <c r="K608" s="230"/>
      <c r="L608" s="231"/>
    </row>
    <row r="609">
      <c r="A609" s="233"/>
      <c r="B609" s="206"/>
      <c r="C609" s="205"/>
      <c r="D609" s="206"/>
      <c r="E609" s="207"/>
      <c r="G609" s="234"/>
      <c r="H609" s="206"/>
      <c r="J609" s="224"/>
      <c r="K609" s="230"/>
      <c r="L609" s="231"/>
    </row>
    <row r="610">
      <c r="A610" s="233"/>
      <c r="B610" s="206"/>
      <c r="C610" s="205"/>
      <c r="D610" s="206"/>
      <c r="E610" s="207"/>
      <c r="G610" s="234"/>
      <c r="H610" s="206"/>
      <c r="J610" s="224"/>
      <c r="K610" s="230"/>
      <c r="L610" s="231"/>
    </row>
    <row r="611">
      <c r="A611" s="233"/>
      <c r="B611" s="206"/>
      <c r="C611" s="205"/>
      <c r="D611" s="206"/>
      <c r="E611" s="207"/>
      <c r="G611" s="234"/>
      <c r="H611" s="206"/>
      <c r="J611" s="224"/>
      <c r="K611" s="230"/>
      <c r="L611" s="231"/>
    </row>
    <row r="612">
      <c r="A612" s="233"/>
      <c r="B612" s="206"/>
      <c r="C612" s="205"/>
      <c r="D612" s="206"/>
      <c r="E612" s="207"/>
      <c r="G612" s="234"/>
      <c r="H612" s="206"/>
      <c r="J612" s="224"/>
      <c r="K612" s="230"/>
      <c r="L612" s="231"/>
    </row>
    <row r="613">
      <c r="A613" s="233"/>
      <c r="B613" s="206"/>
      <c r="C613" s="205"/>
      <c r="D613" s="206"/>
      <c r="E613" s="207"/>
      <c r="G613" s="234"/>
      <c r="H613" s="206"/>
      <c r="J613" s="224"/>
      <c r="K613" s="230"/>
      <c r="L613" s="231"/>
    </row>
    <row r="614">
      <c r="A614" s="233"/>
      <c r="B614" s="206"/>
      <c r="C614" s="205"/>
      <c r="D614" s="206"/>
      <c r="E614" s="207"/>
      <c r="G614" s="234"/>
      <c r="H614" s="206"/>
      <c r="J614" s="224"/>
      <c r="K614" s="230"/>
      <c r="L614" s="231"/>
    </row>
    <row r="615">
      <c r="A615" s="233"/>
      <c r="B615" s="206"/>
      <c r="C615" s="205"/>
      <c r="D615" s="206"/>
      <c r="E615" s="207"/>
      <c r="G615" s="234"/>
      <c r="H615" s="206"/>
      <c r="J615" s="224"/>
      <c r="K615" s="230"/>
      <c r="L615" s="231"/>
    </row>
    <row r="616">
      <c r="A616" s="233"/>
      <c r="B616" s="206"/>
      <c r="C616" s="205"/>
      <c r="D616" s="206"/>
      <c r="E616" s="207"/>
      <c r="G616" s="234"/>
      <c r="H616" s="206"/>
      <c r="J616" s="224"/>
      <c r="K616" s="230"/>
      <c r="L616" s="231"/>
    </row>
    <row r="617">
      <c r="A617" s="233"/>
      <c r="B617" s="206"/>
      <c r="C617" s="205"/>
      <c r="D617" s="206"/>
      <c r="E617" s="207"/>
      <c r="G617" s="234"/>
      <c r="H617" s="206"/>
      <c r="J617" s="224"/>
      <c r="K617" s="230"/>
      <c r="L617" s="231"/>
    </row>
    <row r="618">
      <c r="A618" s="233"/>
      <c r="B618" s="206"/>
      <c r="C618" s="205"/>
      <c r="D618" s="206"/>
      <c r="E618" s="207"/>
      <c r="G618" s="234"/>
      <c r="H618" s="206"/>
      <c r="J618" s="224"/>
      <c r="K618" s="230"/>
      <c r="L618" s="231"/>
    </row>
    <row r="619">
      <c r="A619" s="233"/>
      <c r="B619" s="206"/>
      <c r="C619" s="205"/>
      <c r="D619" s="206"/>
      <c r="E619" s="207"/>
      <c r="G619" s="234"/>
      <c r="H619" s="206"/>
      <c r="J619" s="224"/>
      <c r="K619" s="230"/>
      <c r="L619" s="231"/>
    </row>
    <row r="620">
      <c r="A620" s="233"/>
      <c r="B620" s="206"/>
      <c r="C620" s="205"/>
      <c r="D620" s="206"/>
      <c r="E620" s="207"/>
      <c r="G620" s="234"/>
      <c r="H620" s="206"/>
      <c r="J620" s="224"/>
      <c r="K620" s="230"/>
      <c r="L620" s="231"/>
    </row>
    <row r="621">
      <c r="A621" s="233"/>
      <c r="B621" s="206"/>
      <c r="C621" s="205"/>
      <c r="D621" s="206"/>
      <c r="E621" s="207"/>
      <c r="G621" s="234"/>
      <c r="H621" s="206"/>
      <c r="J621" s="224"/>
      <c r="K621" s="230"/>
      <c r="L621" s="231"/>
    </row>
    <row r="622">
      <c r="A622" s="233"/>
      <c r="B622" s="206"/>
      <c r="C622" s="205"/>
      <c r="D622" s="206"/>
      <c r="E622" s="207"/>
      <c r="G622" s="234"/>
      <c r="H622" s="206"/>
      <c r="J622" s="224"/>
      <c r="K622" s="230"/>
      <c r="L622" s="231"/>
    </row>
    <row r="623">
      <c r="A623" s="233"/>
      <c r="B623" s="206"/>
      <c r="C623" s="205"/>
      <c r="D623" s="206"/>
      <c r="E623" s="207"/>
      <c r="G623" s="234"/>
      <c r="H623" s="206"/>
      <c r="J623" s="224"/>
      <c r="K623" s="230"/>
      <c r="L623" s="231"/>
    </row>
    <row r="624">
      <c r="A624" s="233"/>
      <c r="B624" s="206"/>
      <c r="C624" s="205"/>
      <c r="D624" s="206"/>
      <c r="E624" s="207"/>
      <c r="G624" s="234"/>
      <c r="H624" s="206"/>
      <c r="J624" s="224"/>
      <c r="K624" s="230"/>
      <c r="L624" s="231"/>
    </row>
    <row r="625">
      <c r="A625" s="233"/>
      <c r="B625" s="206"/>
      <c r="C625" s="205"/>
      <c r="D625" s="206"/>
      <c r="E625" s="207"/>
      <c r="G625" s="234"/>
      <c r="H625" s="206"/>
      <c r="J625" s="224"/>
      <c r="K625" s="230"/>
      <c r="L625" s="231"/>
    </row>
    <row r="626">
      <c r="A626" s="233"/>
      <c r="B626" s="206"/>
      <c r="C626" s="205"/>
      <c r="D626" s="206"/>
      <c r="E626" s="207"/>
      <c r="G626" s="234"/>
      <c r="H626" s="206"/>
      <c r="J626" s="224"/>
      <c r="K626" s="230"/>
      <c r="L626" s="231"/>
    </row>
    <row r="627">
      <c r="A627" s="233"/>
      <c r="B627" s="206"/>
      <c r="C627" s="205"/>
      <c r="D627" s="206"/>
      <c r="E627" s="207"/>
      <c r="G627" s="234"/>
      <c r="H627" s="206"/>
      <c r="J627" s="224"/>
      <c r="K627" s="230"/>
      <c r="L627" s="231"/>
    </row>
    <row r="628">
      <c r="A628" s="233"/>
      <c r="B628" s="206"/>
      <c r="C628" s="205"/>
      <c r="D628" s="206"/>
      <c r="E628" s="207"/>
      <c r="G628" s="234"/>
      <c r="H628" s="206"/>
      <c r="J628" s="224"/>
      <c r="K628" s="230"/>
      <c r="L628" s="231"/>
    </row>
    <row r="629">
      <c r="A629" s="233"/>
      <c r="B629" s="206"/>
      <c r="C629" s="205"/>
      <c r="D629" s="206"/>
      <c r="E629" s="207"/>
      <c r="G629" s="234"/>
      <c r="H629" s="206"/>
      <c r="J629" s="224"/>
      <c r="K629" s="230"/>
      <c r="L629" s="231"/>
    </row>
    <row r="630">
      <c r="A630" s="233"/>
      <c r="B630" s="206"/>
      <c r="C630" s="205"/>
      <c r="D630" s="206"/>
      <c r="E630" s="207"/>
      <c r="G630" s="234"/>
      <c r="H630" s="206"/>
      <c r="J630" s="224"/>
      <c r="K630" s="230"/>
      <c r="L630" s="231"/>
    </row>
    <row r="631">
      <c r="A631" s="233"/>
      <c r="B631" s="206"/>
      <c r="C631" s="205"/>
      <c r="D631" s="206"/>
      <c r="E631" s="207"/>
      <c r="G631" s="234"/>
      <c r="H631" s="206"/>
      <c r="J631" s="224"/>
      <c r="K631" s="230"/>
      <c r="L631" s="231"/>
    </row>
    <row r="632">
      <c r="A632" s="233"/>
      <c r="B632" s="206"/>
      <c r="C632" s="205"/>
      <c r="D632" s="206"/>
      <c r="E632" s="207"/>
      <c r="G632" s="234"/>
      <c r="H632" s="206"/>
      <c r="J632" s="224"/>
      <c r="K632" s="230"/>
      <c r="L632" s="231"/>
    </row>
    <row r="633">
      <c r="A633" s="233"/>
      <c r="B633" s="206"/>
      <c r="C633" s="205"/>
      <c r="D633" s="206"/>
      <c r="E633" s="207"/>
      <c r="G633" s="234"/>
      <c r="H633" s="206"/>
      <c r="J633" s="224"/>
      <c r="K633" s="230"/>
      <c r="L633" s="231"/>
    </row>
    <row r="634">
      <c r="A634" s="233"/>
      <c r="B634" s="206"/>
      <c r="C634" s="205"/>
      <c r="D634" s="206"/>
      <c r="E634" s="207"/>
      <c r="G634" s="234"/>
      <c r="H634" s="206"/>
      <c r="J634" s="224"/>
      <c r="K634" s="230"/>
      <c r="L634" s="231"/>
    </row>
    <row r="635">
      <c r="A635" s="233"/>
      <c r="B635" s="206"/>
      <c r="C635" s="205"/>
      <c r="D635" s="206"/>
      <c r="E635" s="207"/>
      <c r="G635" s="234"/>
      <c r="H635" s="206"/>
      <c r="J635" s="224"/>
      <c r="K635" s="230"/>
      <c r="L635" s="231"/>
    </row>
    <row r="636">
      <c r="A636" s="233"/>
      <c r="B636" s="206"/>
      <c r="C636" s="205"/>
      <c r="D636" s="206"/>
      <c r="E636" s="207"/>
      <c r="G636" s="234"/>
      <c r="H636" s="206"/>
      <c r="J636" s="224"/>
      <c r="K636" s="230"/>
      <c r="L636" s="231"/>
    </row>
    <row r="637">
      <c r="A637" s="233"/>
      <c r="B637" s="206"/>
      <c r="C637" s="205"/>
      <c r="D637" s="206"/>
      <c r="E637" s="207"/>
      <c r="G637" s="234"/>
      <c r="H637" s="206"/>
      <c r="J637" s="224"/>
      <c r="K637" s="230"/>
      <c r="L637" s="231"/>
    </row>
    <row r="638">
      <c r="A638" s="233"/>
      <c r="B638" s="206"/>
      <c r="C638" s="205"/>
      <c r="D638" s="206"/>
      <c r="E638" s="207"/>
      <c r="G638" s="234"/>
      <c r="H638" s="206"/>
      <c r="J638" s="224"/>
      <c r="K638" s="230"/>
      <c r="L638" s="231"/>
    </row>
    <row r="639">
      <c r="A639" s="233"/>
      <c r="B639" s="206"/>
      <c r="C639" s="205"/>
      <c r="D639" s="206"/>
      <c r="E639" s="207"/>
      <c r="G639" s="234"/>
      <c r="H639" s="206"/>
      <c r="J639" s="224"/>
      <c r="K639" s="230"/>
      <c r="L639" s="231"/>
    </row>
    <row r="640">
      <c r="A640" s="233"/>
      <c r="B640" s="206"/>
      <c r="C640" s="205"/>
      <c r="D640" s="206"/>
      <c r="E640" s="207"/>
      <c r="G640" s="234"/>
      <c r="H640" s="206"/>
      <c r="J640" s="224"/>
      <c r="K640" s="230"/>
      <c r="L640" s="231"/>
    </row>
    <row r="641">
      <c r="A641" s="233"/>
      <c r="B641" s="206"/>
      <c r="C641" s="205"/>
      <c r="D641" s="206"/>
      <c r="E641" s="207"/>
      <c r="G641" s="234"/>
      <c r="H641" s="206"/>
      <c r="J641" s="224"/>
      <c r="K641" s="230"/>
      <c r="L641" s="231"/>
    </row>
    <row r="642">
      <c r="A642" s="233"/>
      <c r="B642" s="206"/>
      <c r="C642" s="205"/>
      <c r="D642" s="206"/>
      <c r="E642" s="207"/>
      <c r="G642" s="234"/>
      <c r="H642" s="206"/>
      <c r="J642" s="224"/>
      <c r="K642" s="230"/>
      <c r="L642" s="231"/>
    </row>
    <row r="643">
      <c r="A643" s="233"/>
      <c r="B643" s="206"/>
      <c r="C643" s="205"/>
      <c r="D643" s="206"/>
      <c r="E643" s="207"/>
      <c r="G643" s="234"/>
      <c r="H643" s="206"/>
      <c r="J643" s="224"/>
      <c r="K643" s="230"/>
      <c r="L643" s="231"/>
    </row>
    <row r="644">
      <c r="A644" s="233"/>
      <c r="B644" s="206"/>
      <c r="C644" s="205"/>
      <c r="D644" s="206"/>
      <c r="E644" s="207"/>
      <c r="G644" s="234"/>
      <c r="H644" s="206"/>
      <c r="J644" s="224"/>
      <c r="K644" s="230"/>
      <c r="L644" s="231"/>
    </row>
    <row r="645">
      <c r="A645" s="233"/>
      <c r="B645" s="206"/>
      <c r="C645" s="205"/>
      <c r="D645" s="206"/>
      <c r="E645" s="207"/>
      <c r="G645" s="234"/>
      <c r="H645" s="206"/>
      <c r="J645" s="224"/>
      <c r="K645" s="230"/>
      <c r="L645" s="231"/>
    </row>
    <row r="646">
      <c r="A646" s="233"/>
      <c r="B646" s="206"/>
      <c r="C646" s="205"/>
      <c r="D646" s="206"/>
      <c r="E646" s="207"/>
      <c r="G646" s="234"/>
      <c r="H646" s="206"/>
      <c r="J646" s="224"/>
      <c r="K646" s="230"/>
      <c r="L646" s="231"/>
    </row>
    <row r="647">
      <c r="A647" s="233"/>
      <c r="B647" s="206"/>
      <c r="C647" s="205"/>
      <c r="D647" s="206"/>
      <c r="E647" s="207"/>
      <c r="G647" s="234"/>
      <c r="H647" s="206"/>
      <c r="J647" s="224"/>
      <c r="K647" s="230"/>
      <c r="L647" s="231"/>
    </row>
    <row r="648">
      <c r="A648" s="233"/>
      <c r="B648" s="206"/>
      <c r="C648" s="205"/>
      <c r="D648" s="206"/>
      <c r="E648" s="207"/>
      <c r="G648" s="234"/>
      <c r="H648" s="206"/>
      <c r="J648" s="224"/>
      <c r="K648" s="230"/>
      <c r="L648" s="231"/>
    </row>
    <row r="649">
      <c r="A649" s="233"/>
      <c r="B649" s="206"/>
      <c r="C649" s="205"/>
      <c r="D649" s="206"/>
      <c r="E649" s="207"/>
      <c r="G649" s="234"/>
      <c r="H649" s="206"/>
      <c r="J649" s="224"/>
      <c r="K649" s="230"/>
      <c r="L649" s="231"/>
    </row>
    <row r="650">
      <c r="A650" s="233"/>
      <c r="B650" s="206"/>
      <c r="C650" s="205"/>
      <c r="D650" s="206"/>
      <c r="E650" s="207"/>
      <c r="G650" s="234"/>
      <c r="H650" s="206"/>
      <c r="J650" s="224"/>
      <c r="K650" s="230"/>
      <c r="L650" s="231"/>
    </row>
    <row r="651">
      <c r="A651" s="233"/>
      <c r="B651" s="206"/>
      <c r="C651" s="205"/>
      <c r="D651" s="206"/>
      <c r="E651" s="207"/>
      <c r="G651" s="234"/>
      <c r="H651" s="206"/>
      <c r="J651" s="224"/>
      <c r="K651" s="230"/>
      <c r="L651" s="231"/>
    </row>
    <row r="652">
      <c r="A652" s="233"/>
      <c r="B652" s="206"/>
      <c r="C652" s="205"/>
      <c r="D652" s="206"/>
      <c r="E652" s="207"/>
      <c r="G652" s="234"/>
      <c r="H652" s="206"/>
      <c r="J652" s="224"/>
      <c r="K652" s="230"/>
      <c r="L652" s="231"/>
    </row>
    <row r="653">
      <c r="A653" s="233"/>
      <c r="B653" s="206"/>
      <c r="C653" s="205"/>
      <c r="D653" s="206"/>
      <c r="E653" s="207"/>
      <c r="G653" s="234"/>
      <c r="H653" s="206"/>
      <c r="J653" s="224"/>
      <c r="K653" s="230"/>
      <c r="L653" s="231"/>
    </row>
    <row r="654">
      <c r="A654" s="233"/>
      <c r="B654" s="206"/>
      <c r="C654" s="205"/>
      <c r="D654" s="206"/>
      <c r="E654" s="207"/>
      <c r="G654" s="234"/>
      <c r="H654" s="206"/>
      <c r="J654" s="224"/>
      <c r="K654" s="230"/>
      <c r="L654" s="231"/>
    </row>
    <row r="655">
      <c r="A655" s="233"/>
      <c r="B655" s="206"/>
      <c r="C655" s="205"/>
      <c r="D655" s="206"/>
      <c r="E655" s="207"/>
      <c r="G655" s="234"/>
      <c r="H655" s="206"/>
      <c r="J655" s="224"/>
      <c r="K655" s="230"/>
      <c r="L655" s="231"/>
    </row>
    <row r="656">
      <c r="A656" s="233"/>
      <c r="B656" s="206"/>
      <c r="C656" s="205"/>
      <c r="D656" s="206"/>
      <c r="E656" s="207"/>
      <c r="G656" s="234"/>
      <c r="H656" s="206"/>
      <c r="J656" s="224"/>
      <c r="K656" s="230"/>
      <c r="L656" s="231"/>
    </row>
    <row r="657">
      <c r="A657" s="233"/>
      <c r="B657" s="206"/>
      <c r="C657" s="205"/>
      <c r="D657" s="206"/>
      <c r="E657" s="207"/>
      <c r="G657" s="234"/>
      <c r="H657" s="206"/>
      <c r="J657" s="224"/>
      <c r="K657" s="230"/>
      <c r="L657" s="231"/>
    </row>
    <row r="658">
      <c r="A658" s="233"/>
      <c r="B658" s="206"/>
      <c r="C658" s="205"/>
      <c r="D658" s="206"/>
      <c r="E658" s="207"/>
      <c r="G658" s="234"/>
      <c r="H658" s="206"/>
      <c r="J658" s="224"/>
      <c r="K658" s="230"/>
      <c r="L658" s="231"/>
    </row>
    <row r="659">
      <c r="A659" s="233"/>
      <c r="B659" s="206"/>
      <c r="C659" s="205"/>
      <c r="D659" s="206"/>
      <c r="E659" s="207"/>
      <c r="G659" s="234"/>
      <c r="H659" s="206"/>
      <c r="J659" s="224"/>
      <c r="K659" s="230"/>
      <c r="L659" s="231"/>
    </row>
    <row r="660">
      <c r="A660" s="233"/>
      <c r="B660" s="206"/>
      <c r="C660" s="205"/>
      <c r="D660" s="206"/>
      <c r="E660" s="207"/>
      <c r="G660" s="234"/>
      <c r="H660" s="206"/>
      <c r="J660" s="224"/>
      <c r="K660" s="230"/>
      <c r="L660" s="231"/>
    </row>
    <row r="661">
      <c r="A661" s="233"/>
      <c r="B661" s="206"/>
      <c r="C661" s="205"/>
      <c r="D661" s="206"/>
      <c r="E661" s="207"/>
      <c r="G661" s="234"/>
      <c r="H661" s="206"/>
      <c r="J661" s="224"/>
      <c r="K661" s="230"/>
      <c r="L661" s="231"/>
    </row>
    <row r="662">
      <c r="A662" s="233"/>
      <c r="B662" s="206"/>
      <c r="C662" s="205"/>
      <c r="D662" s="206"/>
      <c r="E662" s="207"/>
      <c r="G662" s="234"/>
      <c r="H662" s="206"/>
      <c r="J662" s="224"/>
      <c r="K662" s="230"/>
      <c r="L662" s="231"/>
    </row>
    <row r="663">
      <c r="A663" s="233"/>
      <c r="B663" s="206"/>
      <c r="C663" s="205"/>
      <c r="D663" s="206"/>
      <c r="E663" s="207"/>
      <c r="G663" s="234"/>
      <c r="H663" s="206"/>
      <c r="J663" s="224"/>
      <c r="K663" s="230"/>
      <c r="L663" s="231"/>
    </row>
    <row r="664">
      <c r="A664" s="233"/>
      <c r="B664" s="206"/>
      <c r="C664" s="205"/>
      <c r="D664" s="206"/>
      <c r="E664" s="207"/>
      <c r="G664" s="234"/>
      <c r="H664" s="206"/>
      <c r="J664" s="224"/>
      <c r="K664" s="230"/>
      <c r="L664" s="231"/>
    </row>
    <row r="665">
      <c r="A665" s="233"/>
      <c r="B665" s="206"/>
      <c r="C665" s="205"/>
      <c r="D665" s="206"/>
      <c r="E665" s="207"/>
      <c r="G665" s="234"/>
      <c r="H665" s="206"/>
      <c r="J665" s="224"/>
      <c r="K665" s="230"/>
      <c r="L665" s="231"/>
    </row>
    <row r="666">
      <c r="A666" s="233"/>
      <c r="B666" s="206"/>
      <c r="C666" s="205"/>
      <c r="D666" s="206"/>
      <c r="E666" s="207"/>
      <c r="G666" s="234"/>
      <c r="H666" s="206"/>
      <c r="J666" s="224"/>
      <c r="K666" s="230"/>
      <c r="L666" s="231"/>
    </row>
    <row r="667">
      <c r="A667" s="233"/>
      <c r="B667" s="206"/>
      <c r="C667" s="205"/>
      <c r="D667" s="206"/>
      <c r="E667" s="207"/>
      <c r="G667" s="234"/>
      <c r="H667" s="206"/>
      <c r="J667" s="224"/>
      <c r="K667" s="230"/>
      <c r="L667" s="231"/>
    </row>
    <row r="668">
      <c r="A668" s="233"/>
      <c r="B668" s="206"/>
      <c r="C668" s="205"/>
      <c r="D668" s="206"/>
      <c r="E668" s="207"/>
      <c r="G668" s="234"/>
      <c r="H668" s="206"/>
      <c r="J668" s="224"/>
      <c r="K668" s="230"/>
      <c r="L668" s="231"/>
    </row>
    <row r="669">
      <c r="A669" s="233"/>
      <c r="B669" s="206"/>
      <c r="C669" s="205"/>
      <c r="D669" s="206"/>
      <c r="E669" s="207"/>
      <c r="G669" s="234"/>
      <c r="H669" s="206"/>
      <c r="J669" s="224"/>
      <c r="K669" s="230"/>
      <c r="L669" s="231"/>
    </row>
    <row r="670">
      <c r="A670" s="233"/>
      <c r="B670" s="206"/>
      <c r="C670" s="205"/>
      <c r="D670" s="206"/>
      <c r="E670" s="207"/>
      <c r="G670" s="234"/>
      <c r="H670" s="206"/>
      <c r="J670" s="224"/>
      <c r="K670" s="230"/>
      <c r="L670" s="231"/>
    </row>
    <row r="671">
      <c r="A671" s="233"/>
      <c r="B671" s="206"/>
      <c r="C671" s="205"/>
      <c r="D671" s="206"/>
      <c r="E671" s="207"/>
      <c r="G671" s="234"/>
      <c r="H671" s="206"/>
      <c r="J671" s="224"/>
      <c r="K671" s="230"/>
      <c r="L671" s="231"/>
    </row>
    <row r="672">
      <c r="A672" s="233"/>
      <c r="B672" s="206"/>
      <c r="C672" s="205"/>
      <c r="D672" s="206"/>
      <c r="E672" s="207"/>
      <c r="G672" s="234"/>
      <c r="H672" s="206"/>
      <c r="J672" s="224"/>
      <c r="K672" s="230"/>
      <c r="L672" s="231"/>
    </row>
    <row r="673">
      <c r="A673" s="233"/>
      <c r="B673" s="206"/>
      <c r="C673" s="205"/>
      <c r="D673" s="206"/>
      <c r="E673" s="207"/>
      <c r="G673" s="234"/>
      <c r="H673" s="206"/>
      <c r="J673" s="224"/>
      <c r="K673" s="230"/>
      <c r="L673" s="231"/>
    </row>
    <row r="674">
      <c r="A674" s="233"/>
      <c r="B674" s="206"/>
      <c r="C674" s="205"/>
      <c r="D674" s="206"/>
      <c r="E674" s="207"/>
      <c r="G674" s="234"/>
      <c r="H674" s="206"/>
      <c r="J674" s="224"/>
      <c r="K674" s="230"/>
      <c r="L674" s="231"/>
    </row>
    <row r="675">
      <c r="A675" s="233"/>
      <c r="B675" s="206"/>
      <c r="C675" s="205"/>
      <c r="D675" s="206"/>
      <c r="E675" s="207"/>
      <c r="G675" s="234"/>
      <c r="H675" s="206"/>
      <c r="J675" s="224"/>
      <c r="K675" s="230"/>
      <c r="L675" s="231"/>
    </row>
    <row r="676">
      <c r="A676" s="233"/>
      <c r="B676" s="206"/>
      <c r="C676" s="205"/>
      <c r="D676" s="206"/>
      <c r="E676" s="207"/>
      <c r="G676" s="234"/>
      <c r="H676" s="206"/>
      <c r="J676" s="224"/>
      <c r="K676" s="230"/>
      <c r="L676" s="231"/>
    </row>
    <row r="677">
      <c r="A677" s="233"/>
      <c r="B677" s="206"/>
      <c r="C677" s="205"/>
      <c r="D677" s="206"/>
      <c r="E677" s="207"/>
      <c r="G677" s="234"/>
      <c r="H677" s="206"/>
      <c r="J677" s="224"/>
      <c r="K677" s="230"/>
      <c r="L677" s="231"/>
    </row>
    <row r="678">
      <c r="A678" s="233"/>
      <c r="B678" s="206"/>
      <c r="C678" s="205"/>
      <c r="D678" s="206"/>
      <c r="E678" s="207"/>
      <c r="G678" s="234"/>
      <c r="H678" s="206"/>
      <c r="J678" s="224"/>
      <c r="K678" s="230"/>
      <c r="L678" s="231"/>
    </row>
    <row r="679">
      <c r="A679" s="233"/>
      <c r="B679" s="206"/>
      <c r="C679" s="205"/>
      <c r="D679" s="206"/>
      <c r="E679" s="207"/>
      <c r="G679" s="234"/>
      <c r="H679" s="206"/>
      <c r="J679" s="224"/>
      <c r="K679" s="230"/>
      <c r="L679" s="231"/>
    </row>
    <row r="680">
      <c r="A680" s="233"/>
      <c r="B680" s="206"/>
      <c r="C680" s="205"/>
      <c r="D680" s="206"/>
      <c r="E680" s="207"/>
      <c r="G680" s="234"/>
      <c r="H680" s="206"/>
      <c r="J680" s="224"/>
      <c r="K680" s="230"/>
      <c r="L680" s="231"/>
    </row>
    <row r="681">
      <c r="A681" s="233"/>
      <c r="B681" s="206"/>
      <c r="C681" s="205"/>
      <c r="D681" s="206"/>
      <c r="E681" s="207"/>
      <c r="G681" s="234"/>
      <c r="H681" s="206"/>
      <c r="J681" s="224"/>
      <c r="K681" s="230"/>
      <c r="L681" s="231"/>
    </row>
    <row r="682">
      <c r="A682" s="233"/>
      <c r="B682" s="206"/>
      <c r="C682" s="205"/>
      <c r="D682" s="206"/>
      <c r="E682" s="207"/>
      <c r="G682" s="234"/>
      <c r="H682" s="206"/>
      <c r="J682" s="224"/>
      <c r="K682" s="230"/>
      <c r="L682" s="231"/>
    </row>
    <row r="683">
      <c r="A683" s="233"/>
      <c r="B683" s="206"/>
      <c r="C683" s="205"/>
      <c r="D683" s="206"/>
      <c r="E683" s="207"/>
      <c r="G683" s="234"/>
      <c r="H683" s="206"/>
      <c r="J683" s="224"/>
      <c r="K683" s="230"/>
      <c r="L683" s="231"/>
    </row>
    <row r="684">
      <c r="A684" s="233"/>
      <c r="B684" s="206"/>
      <c r="C684" s="205"/>
      <c r="D684" s="206"/>
      <c r="E684" s="207"/>
      <c r="G684" s="234"/>
      <c r="H684" s="206"/>
      <c r="J684" s="224"/>
      <c r="K684" s="230"/>
      <c r="L684" s="231"/>
    </row>
    <row r="685">
      <c r="A685" s="233"/>
      <c r="B685" s="206"/>
      <c r="C685" s="205"/>
      <c r="D685" s="206"/>
      <c r="E685" s="207"/>
      <c r="G685" s="234"/>
      <c r="H685" s="206"/>
      <c r="J685" s="224"/>
      <c r="K685" s="230"/>
      <c r="L685" s="231"/>
    </row>
    <row r="686">
      <c r="A686" s="233"/>
      <c r="B686" s="206"/>
      <c r="C686" s="205"/>
      <c r="D686" s="206"/>
      <c r="E686" s="207"/>
      <c r="G686" s="234"/>
      <c r="H686" s="206"/>
      <c r="J686" s="224"/>
      <c r="K686" s="230"/>
      <c r="L686" s="231"/>
    </row>
    <row r="687">
      <c r="A687" s="233"/>
      <c r="B687" s="206"/>
      <c r="C687" s="205"/>
      <c r="D687" s="206"/>
      <c r="E687" s="207"/>
      <c r="G687" s="234"/>
      <c r="H687" s="206"/>
      <c r="J687" s="224"/>
      <c r="K687" s="230"/>
      <c r="L687" s="231"/>
    </row>
    <row r="688">
      <c r="A688" s="233"/>
      <c r="B688" s="206"/>
      <c r="C688" s="205"/>
      <c r="D688" s="206"/>
      <c r="E688" s="207"/>
      <c r="G688" s="234"/>
      <c r="H688" s="206"/>
      <c r="J688" s="224"/>
      <c r="K688" s="230"/>
      <c r="L688" s="231"/>
    </row>
    <row r="689">
      <c r="A689" s="233"/>
      <c r="B689" s="206"/>
      <c r="C689" s="205"/>
      <c r="D689" s="206"/>
      <c r="E689" s="207"/>
      <c r="G689" s="234"/>
      <c r="H689" s="206"/>
      <c r="J689" s="224"/>
      <c r="K689" s="230"/>
      <c r="L689" s="231"/>
    </row>
    <row r="690">
      <c r="A690" s="233"/>
      <c r="B690" s="206"/>
      <c r="C690" s="205"/>
      <c r="D690" s="206"/>
      <c r="E690" s="207"/>
      <c r="G690" s="234"/>
      <c r="H690" s="206"/>
      <c r="J690" s="224"/>
      <c r="K690" s="230"/>
      <c r="L690" s="231"/>
    </row>
    <row r="691">
      <c r="A691" s="233"/>
      <c r="B691" s="206"/>
      <c r="C691" s="205"/>
      <c r="D691" s="206"/>
      <c r="E691" s="207"/>
      <c r="G691" s="234"/>
      <c r="H691" s="206"/>
      <c r="J691" s="224"/>
      <c r="K691" s="230"/>
      <c r="L691" s="231"/>
    </row>
    <row r="692">
      <c r="A692" s="233"/>
      <c r="B692" s="206"/>
      <c r="C692" s="205"/>
      <c r="D692" s="206"/>
      <c r="E692" s="207"/>
      <c r="G692" s="234"/>
      <c r="H692" s="206"/>
      <c r="J692" s="224"/>
      <c r="K692" s="230"/>
      <c r="L692" s="231"/>
    </row>
    <row r="693">
      <c r="A693" s="233"/>
      <c r="B693" s="206"/>
      <c r="C693" s="205"/>
      <c r="D693" s="206"/>
      <c r="E693" s="207"/>
      <c r="G693" s="234"/>
      <c r="H693" s="206"/>
      <c r="J693" s="224"/>
      <c r="K693" s="230"/>
      <c r="L693" s="231"/>
    </row>
    <row r="694">
      <c r="A694" s="233"/>
      <c r="B694" s="206"/>
      <c r="C694" s="205"/>
      <c r="D694" s="206"/>
      <c r="E694" s="207"/>
      <c r="G694" s="234"/>
      <c r="H694" s="206"/>
      <c r="J694" s="224"/>
      <c r="K694" s="230"/>
      <c r="L694" s="231"/>
    </row>
    <row r="695">
      <c r="A695" s="233"/>
      <c r="B695" s="206"/>
      <c r="C695" s="205"/>
      <c r="D695" s="206"/>
      <c r="E695" s="207"/>
      <c r="G695" s="234"/>
      <c r="H695" s="206"/>
      <c r="J695" s="224"/>
      <c r="K695" s="230"/>
      <c r="L695" s="231"/>
    </row>
    <row r="696">
      <c r="A696" s="233"/>
      <c r="B696" s="206"/>
      <c r="C696" s="205"/>
      <c r="D696" s="206"/>
      <c r="E696" s="207"/>
      <c r="G696" s="234"/>
      <c r="H696" s="206"/>
      <c r="J696" s="224"/>
      <c r="K696" s="230"/>
      <c r="L696" s="231"/>
    </row>
    <row r="697">
      <c r="A697" s="233"/>
      <c r="B697" s="206"/>
      <c r="C697" s="205"/>
      <c r="D697" s="206"/>
      <c r="E697" s="207"/>
      <c r="G697" s="234"/>
      <c r="H697" s="206"/>
      <c r="J697" s="224"/>
      <c r="K697" s="230"/>
      <c r="L697" s="231"/>
    </row>
    <row r="698">
      <c r="A698" s="233"/>
      <c r="B698" s="206"/>
      <c r="C698" s="205"/>
      <c r="D698" s="206"/>
      <c r="E698" s="207"/>
      <c r="G698" s="234"/>
      <c r="H698" s="206"/>
      <c r="J698" s="224"/>
      <c r="K698" s="230"/>
      <c r="L698" s="231"/>
    </row>
    <row r="699">
      <c r="A699" s="233"/>
      <c r="B699" s="206"/>
      <c r="C699" s="205"/>
      <c r="D699" s="206"/>
      <c r="E699" s="207"/>
      <c r="G699" s="234"/>
      <c r="H699" s="206"/>
      <c r="J699" s="224"/>
      <c r="K699" s="230"/>
      <c r="L699" s="231"/>
    </row>
    <row r="700">
      <c r="A700" s="233"/>
      <c r="B700" s="206"/>
      <c r="C700" s="205"/>
      <c r="D700" s="206"/>
      <c r="E700" s="207"/>
      <c r="G700" s="234"/>
      <c r="H700" s="206"/>
      <c r="J700" s="224"/>
      <c r="K700" s="230"/>
      <c r="L700" s="231"/>
    </row>
    <row r="701">
      <c r="A701" s="233"/>
      <c r="B701" s="206"/>
      <c r="C701" s="205"/>
      <c r="D701" s="206"/>
      <c r="E701" s="207"/>
      <c r="G701" s="234"/>
      <c r="H701" s="206"/>
      <c r="J701" s="224"/>
      <c r="K701" s="230"/>
      <c r="L701" s="231"/>
    </row>
    <row r="702">
      <c r="A702" s="233"/>
      <c r="B702" s="206"/>
      <c r="C702" s="205"/>
      <c r="D702" s="206"/>
      <c r="E702" s="207"/>
      <c r="G702" s="234"/>
      <c r="H702" s="206"/>
      <c r="J702" s="224"/>
      <c r="K702" s="230"/>
      <c r="L702" s="231"/>
    </row>
    <row r="703">
      <c r="A703" s="233"/>
      <c r="B703" s="206"/>
      <c r="C703" s="205"/>
      <c r="D703" s="206"/>
      <c r="E703" s="207"/>
      <c r="G703" s="234"/>
      <c r="H703" s="206"/>
      <c r="J703" s="224"/>
      <c r="K703" s="230"/>
      <c r="L703" s="231"/>
    </row>
    <row r="704">
      <c r="A704" s="233"/>
      <c r="B704" s="206"/>
      <c r="C704" s="205"/>
      <c r="D704" s="206"/>
      <c r="E704" s="207"/>
      <c r="G704" s="234"/>
      <c r="H704" s="206"/>
      <c r="J704" s="224"/>
      <c r="K704" s="230"/>
      <c r="L704" s="231"/>
    </row>
    <row r="705">
      <c r="A705" s="233"/>
      <c r="B705" s="206"/>
      <c r="C705" s="205"/>
      <c r="D705" s="206"/>
      <c r="E705" s="207"/>
      <c r="G705" s="234"/>
      <c r="H705" s="206"/>
      <c r="J705" s="224"/>
      <c r="K705" s="230"/>
      <c r="L705" s="231"/>
    </row>
    <row r="706">
      <c r="A706" s="233"/>
      <c r="B706" s="206"/>
      <c r="C706" s="205"/>
      <c r="D706" s="206"/>
      <c r="E706" s="207"/>
      <c r="G706" s="234"/>
      <c r="H706" s="206"/>
      <c r="J706" s="224"/>
      <c r="K706" s="230"/>
      <c r="L706" s="231"/>
    </row>
    <row r="707">
      <c r="A707" s="233"/>
      <c r="B707" s="206"/>
      <c r="C707" s="205"/>
      <c r="D707" s="206"/>
      <c r="E707" s="207"/>
      <c r="G707" s="234"/>
      <c r="H707" s="206"/>
      <c r="J707" s="224"/>
      <c r="K707" s="230"/>
      <c r="L707" s="231"/>
    </row>
    <row r="708">
      <c r="A708" s="233"/>
      <c r="B708" s="206"/>
      <c r="C708" s="205"/>
      <c r="D708" s="206"/>
      <c r="E708" s="207"/>
      <c r="G708" s="234"/>
      <c r="H708" s="206"/>
      <c r="J708" s="224"/>
      <c r="K708" s="230"/>
      <c r="L708" s="231"/>
    </row>
    <row r="709">
      <c r="A709" s="233"/>
      <c r="B709" s="206"/>
      <c r="C709" s="205"/>
      <c r="D709" s="206"/>
      <c r="E709" s="207"/>
      <c r="G709" s="234"/>
      <c r="H709" s="206"/>
      <c r="J709" s="224"/>
      <c r="K709" s="230"/>
      <c r="L709" s="231"/>
    </row>
    <row r="710">
      <c r="A710" s="233"/>
      <c r="B710" s="206"/>
      <c r="C710" s="205"/>
      <c r="D710" s="206"/>
      <c r="E710" s="207"/>
      <c r="G710" s="234"/>
      <c r="H710" s="206"/>
      <c r="J710" s="224"/>
      <c r="K710" s="230"/>
      <c r="L710" s="231"/>
    </row>
    <row r="711">
      <c r="A711" s="233"/>
      <c r="B711" s="206"/>
      <c r="C711" s="205"/>
      <c r="D711" s="206"/>
      <c r="E711" s="207"/>
      <c r="G711" s="234"/>
      <c r="H711" s="206"/>
      <c r="J711" s="224"/>
      <c r="K711" s="230"/>
      <c r="L711" s="231"/>
    </row>
    <row r="712">
      <c r="A712" s="233"/>
      <c r="B712" s="206"/>
      <c r="C712" s="205"/>
      <c r="D712" s="206"/>
      <c r="E712" s="207"/>
      <c r="G712" s="234"/>
      <c r="H712" s="206"/>
      <c r="J712" s="224"/>
      <c r="K712" s="230"/>
      <c r="L712" s="231"/>
    </row>
    <row r="713">
      <c r="A713" s="233"/>
      <c r="B713" s="206"/>
      <c r="C713" s="205"/>
      <c r="D713" s="206"/>
      <c r="E713" s="207"/>
      <c r="G713" s="234"/>
      <c r="H713" s="206"/>
      <c r="J713" s="224"/>
      <c r="K713" s="230"/>
      <c r="L713" s="231"/>
    </row>
    <row r="714">
      <c r="A714" s="233"/>
      <c r="B714" s="206"/>
      <c r="C714" s="205"/>
      <c r="D714" s="206"/>
      <c r="E714" s="207"/>
      <c r="G714" s="234"/>
      <c r="H714" s="206"/>
      <c r="J714" s="224"/>
      <c r="K714" s="230"/>
      <c r="L714" s="231"/>
    </row>
    <row r="715">
      <c r="A715" s="233"/>
      <c r="B715" s="206"/>
      <c r="C715" s="205"/>
      <c r="D715" s="206"/>
      <c r="E715" s="207"/>
      <c r="G715" s="234"/>
      <c r="H715" s="206"/>
      <c r="J715" s="224"/>
      <c r="K715" s="230"/>
      <c r="L715" s="231"/>
    </row>
    <row r="716">
      <c r="A716" s="233"/>
      <c r="B716" s="206"/>
      <c r="C716" s="205"/>
      <c r="D716" s="206"/>
      <c r="E716" s="207"/>
      <c r="G716" s="234"/>
      <c r="H716" s="206"/>
      <c r="J716" s="224"/>
      <c r="K716" s="230"/>
      <c r="L716" s="231"/>
    </row>
    <row r="717">
      <c r="A717" s="233"/>
      <c r="B717" s="206"/>
      <c r="C717" s="205"/>
      <c r="D717" s="206"/>
      <c r="E717" s="207"/>
      <c r="G717" s="234"/>
      <c r="H717" s="206"/>
      <c r="J717" s="224"/>
      <c r="K717" s="230"/>
      <c r="L717" s="231"/>
    </row>
    <row r="718">
      <c r="A718" s="233"/>
      <c r="B718" s="206"/>
      <c r="C718" s="205"/>
      <c r="D718" s="206"/>
      <c r="E718" s="207"/>
      <c r="G718" s="234"/>
      <c r="H718" s="206"/>
      <c r="J718" s="224"/>
      <c r="K718" s="230"/>
      <c r="L718" s="231"/>
    </row>
    <row r="719">
      <c r="A719" s="233"/>
      <c r="B719" s="206"/>
      <c r="C719" s="205"/>
      <c r="D719" s="206"/>
      <c r="E719" s="207"/>
      <c r="G719" s="234"/>
      <c r="H719" s="206"/>
      <c r="J719" s="224"/>
      <c r="K719" s="230"/>
      <c r="L719" s="231"/>
    </row>
    <row r="720">
      <c r="A720" s="233"/>
      <c r="B720" s="206"/>
      <c r="C720" s="205"/>
      <c r="D720" s="206"/>
      <c r="E720" s="207"/>
      <c r="G720" s="234"/>
      <c r="H720" s="206"/>
      <c r="J720" s="224"/>
      <c r="K720" s="230"/>
      <c r="L720" s="231"/>
    </row>
    <row r="721">
      <c r="A721" s="233"/>
      <c r="B721" s="206"/>
      <c r="C721" s="205"/>
      <c r="D721" s="206"/>
      <c r="E721" s="207"/>
      <c r="G721" s="234"/>
      <c r="H721" s="206"/>
      <c r="J721" s="224"/>
      <c r="K721" s="230"/>
      <c r="L721" s="231"/>
    </row>
    <row r="722">
      <c r="A722" s="233"/>
      <c r="B722" s="206"/>
      <c r="C722" s="205"/>
      <c r="D722" s="206"/>
      <c r="E722" s="207"/>
      <c r="G722" s="234"/>
      <c r="H722" s="206"/>
      <c r="J722" s="224"/>
      <c r="K722" s="230"/>
      <c r="L722" s="231"/>
    </row>
    <row r="723">
      <c r="A723" s="233"/>
      <c r="B723" s="206"/>
      <c r="C723" s="205"/>
      <c r="D723" s="206"/>
      <c r="E723" s="207"/>
      <c r="G723" s="234"/>
      <c r="H723" s="206"/>
      <c r="J723" s="224"/>
      <c r="K723" s="230"/>
      <c r="L723" s="231"/>
    </row>
    <row r="724">
      <c r="A724" s="233"/>
      <c r="B724" s="206"/>
      <c r="C724" s="205"/>
      <c r="D724" s="206"/>
      <c r="E724" s="207"/>
      <c r="G724" s="234"/>
      <c r="H724" s="206"/>
      <c r="J724" s="224"/>
      <c r="K724" s="230"/>
      <c r="L724" s="231"/>
    </row>
    <row r="725">
      <c r="A725" s="233"/>
      <c r="B725" s="206"/>
      <c r="C725" s="205"/>
      <c r="D725" s="206"/>
      <c r="E725" s="207"/>
      <c r="G725" s="234"/>
      <c r="H725" s="206"/>
      <c r="J725" s="224"/>
      <c r="K725" s="230"/>
      <c r="L725" s="231"/>
    </row>
    <row r="726">
      <c r="A726" s="233"/>
      <c r="B726" s="206"/>
      <c r="C726" s="205"/>
      <c r="D726" s="206"/>
      <c r="E726" s="207"/>
      <c r="G726" s="234"/>
      <c r="H726" s="206"/>
      <c r="J726" s="224"/>
      <c r="K726" s="230"/>
      <c r="L726" s="231"/>
    </row>
    <row r="727">
      <c r="A727" s="233"/>
      <c r="B727" s="206"/>
      <c r="C727" s="205"/>
      <c r="D727" s="206"/>
      <c r="E727" s="207"/>
      <c r="G727" s="234"/>
      <c r="H727" s="206"/>
      <c r="J727" s="224"/>
      <c r="K727" s="230"/>
      <c r="L727" s="231"/>
    </row>
    <row r="728">
      <c r="A728" s="233"/>
      <c r="B728" s="206"/>
      <c r="C728" s="205"/>
      <c r="D728" s="206"/>
      <c r="E728" s="207"/>
      <c r="G728" s="234"/>
      <c r="H728" s="206"/>
      <c r="J728" s="224"/>
      <c r="K728" s="230"/>
      <c r="L728" s="231"/>
    </row>
    <row r="729">
      <c r="A729" s="233"/>
      <c r="B729" s="206"/>
      <c r="C729" s="205"/>
      <c r="D729" s="206"/>
      <c r="E729" s="207"/>
      <c r="G729" s="234"/>
      <c r="H729" s="206"/>
      <c r="J729" s="224"/>
      <c r="K729" s="230"/>
      <c r="L729" s="231"/>
    </row>
    <row r="730">
      <c r="A730" s="233"/>
      <c r="B730" s="206"/>
      <c r="C730" s="205"/>
      <c r="D730" s="206"/>
      <c r="E730" s="207"/>
      <c r="G730" s="234"/>
      <c r="H730" s="206"/>
      <c r="J730" s="224"/>
      <c r="K730" s="230"/>
      <c r="L730" s="231"/>
    </row>
    <row r="731">
      <c r="A731" s="233"/>
      <c r="B731" s="206"/>
      <c r="C731" s="205"/>
      <c r="D731" s="206"/>
      <c r="E731" s="207"/>
      <c r="G731" s="234"/>
      <c r="H731" s="206"/>
      <c r="J731" s="224"/>
      <c r="K731" s="230"/>
      <c r="L731" s="231"/>
    </row>
    <row r="732">
      <c r="A732" s="233"/>
      <c r="B732" s="206"/>
      <c r="C732" s="205"/>
      <c r="D732" s="206"/>
      <c r="E732" s="207"/>
      <c r="G732" s="234"/>
      <c r="H732" s="206"/>
      <c r="J732" s="224"/>
      <c r="K732" s="230"/>
      <c r="L732" s="231"/>
    </row>
    <row r="733">
      <c r="A733" s="233"/>
      <c r="B733" s="206"/>
      <c r="C733" s="205"/>
      <c r="D733" s="206"/>
      <c r="E733" s="207"/>
      <c r="G733" s="234"/>
      <c r="H733" s="206"/>
      <c r="J733" s="224"/>
      <c r="K733" s="230"/>
      <c r="L733" s="231"/>
    </row>
    <row r="734">
      <c r="A734" s="233"/>
      <c r="B734" s="206"/>
      <c r="C734" s="205"/>
      <c r="D734" s="206"/>
      <c r="E734" s="207"/>
      <c r="G734" s="234"/>
      <c r="H734" s="206"/>
      <c r="J734" s="224"/>
      <c r="K734" s="230"/>
      <c r="L734" s="231"/>
    </row>
    <row r="735">
      <c r="A735" s="233"/>
      <c r="B735" s="206"/>
      <c r="C735" s="205"/>
      <c r="D735" s="206"/>
      <c r="E735" s="207"/>
      <c r="G735" s="234"/>
      <c r="H735" s="206"/>
      <c r="J735" s="224"/>
      <c r="K735" s="230"/>
      <c r="L735" s="231"/>
    </row>
    <row r="736">
      <c r="A736" s="233"/>
      <c r="B736" s="206"/>
      <c r="C736" s="205"/>
      <c r="D736" s="206"/>
      <c r="E736" s="207"/>
      <c r="G736" s="234"/>
      <c r="H736" s="206"/>
      <c r="J736" s="224"/>
      <c r="K736" s="230"/>
      <c r="L736" s="231"/>
    </row>
    <row r="737">
      <c r="A737" s="233"/>
      <c r="B737" s="206"/>
      <c r="C737" s="205"/>
      <c r="D737" s="206"/>
      <c r="E737" s="207"/>
      <c r="G737" s="234"/>
      <c r="H737" s="206"/>
      <c r="J737" s="224"/>
      <c r="K737" s="230"/>
      <c r="L737" s="231"/>
    </row>
    <row r="738">
      <c r="A738" s="233"/>
      <c r="B738" s="206"/>
      <c r="C738" s="205"/>
      <c r="D738" s="206"/>
      <c r="E738" s="207"/>
      <c r="G738" s="234"/>
      <c r="H738" s="206"/>
      <c r="J738" s="224"/>
      <c r="K738" s="230"/>
      <c r="L738" s="231"/>
    </row>
    <row r="739">
      <c r="A739" s="233"/>
      <c r="B739" s="206"/>
      <c r="C739" s="205"/>
      <c r="D739" s="206"/>
      <c r="E739" s="207"/>
      <c r="G739" s="234"/>
      <c r="H739" s="206"/>
      <c r="J739" s="224"/>
      <c r="K739" s="230"/>
      <c r="L739" s="231"/>
    </row>
    <row r="740">
      <c r="A740" s="233"/>
      <c r="B740" s="206"/>
      <c r="C740" s="205"/>
      <c r="D740" s="206"/>
      <c r="E740" s="207"/>
      <c r="G740" s="234"/>
      <c r="H740" s="206"/>
      <c r="J740" s="224"/>
      <c r="K740" s="230"/>
      <c r="L740" s="231"/>
    </row>
    <row r="741">
      <c r="A741" s="233"/>
      <c r="B741" s="206"/>
      <c r="C741" s="205"/>
      <c r="D741" s="206"/>
      <c r="E741" s="207"/>
      <c r="G741" s="234"/>
      <c r="H741" s="206"/>
      <c r="J741" s="224"/>
      <c r="K741" s="230"/>
      <c r="L741" s="231"/>
    </row>
    <row r="742">
      <c r="A742" s="233"/>
      <c r="B742" s="206"/>
      <c r="C742" s="205"/>
      <c r="D742" s="206"/>
      <c r="E742" s="207"/>
      <c r="G742" s="234"/>
      <c r="H742" s="206"/>
      <c r="J742" s="224"/>
      <c r="K742" s="230"/>
      <c r="L742" s="231"/>
    </row>
    <row r="743">
      <c r="A743" s="233"/>
      <c r="B743" s="206"/>
      <c r="C743" s="205"/>
      <c r="D743" s="206"/>
      <c r="E743" s="207"/>
      <c r="G743" s="234"/>
      <c r="H743" s="206"/>
      <c r="J743" s="224"/>
      <c r="K743" s="230"/>
      <c r="L743" s="231"/>
    </row>
    <row r="744">
      <c r="A744" s="233"/>
      <c r="B744" s="206"/>
      <c r="C744" s="205"/>
      <c r="D744" s="206"/>
      <c r="E744" s="207"/>
      <c r="G744" s="234"/>
      <c r="H744" s="206"/>
      <c r="J744" s="224"/>
      <c r="K744" s="230"/>
      <c r="L744" s="231"/>
    </row>
    <row r="745">
      <c r="A745" s="233"/>
      <c r="B745" s="206"/>
      <c r="C745" s="205"/>
      <c r="D745" s="206"/>
      <c r="E745" s="207"/>
      <c r="G745" s="234"/>
      <c r="H745" s="206"/>
      <c r="J745" s="224"/>
      <c r="K745" s="230"/>
      <c r="L745" s="231"/>
    </row>
    <row r="746">
      <c r="A746" s="233"/>
      <c r="B746" s="206"/>
      <c r="C746" s="205"/>
      <c r="D746" s="206"/>
      <c r="E746" s="207"/>
      <c r="G746" s="234"/>
      <c r="H746" s="206"/>
      <c r="J746" s="224"/>
      <c r="K746" s="230"/>
      <c r="L746" s="231"/>
    </row>
    <row r="747">
      <c r="A747" s="233"/>
      <c r="B747" s="206"/>
      <c r="C747" s="205"/>
      <c r="D747" s="206"/>
      <c r="E747" s="207"/>
      <c r="G747" s="234"/>
      <c r="H747" s="206"/>
      <c r="J747" s="224"/>
      <c r="K747" s="230"/>
      <c r="L747" s="231"/>
    </row>
    <row r="748">
      <c r="A748" s="233"/>
      <c r="B748" s="206"/>
      <c r="C748" s="205"/>
      <c r="D748" s="206"/>
      <c r="E748" s="207"/>
      <c r="G748" s="234"/>
      <c r="H748" s="206"/>
      <c r="J748" s="224"/>
      <c r="K748" s="230"/>
      <c r="L748" s="231"/>
    </row>
    <row r="749">
      <c r="A749" s="233"/>
      <c r="B749" s="206"/>
      <c r="C749" s="205"/>
      <c r="D749" s="206"/>
      <c r="E749" s="207"/>
      <c r="G749" s="234"/>
      <c r="H749" s="206"/>
      <c r="J749" s="224"/>
      <c r="K749" s="230"/>
      <c r="L749" s="231"/>
    </row>
    <row r="750">
      <c r="A750" s="233"/>
      <c r="B750" s="206"/>
      <c r="C750" s="205"/>
      <c r="D750" s="206"/>
      <c r="E750" s="207"/>
      <c r="G750" s="234"/>
      <c r="H750" s="206"/>
      <c r="J750" s="224"/>
      <c r="K750" s="230"/>
      <c r="L750" s="231"/>
    </row>
    <row r="751">
      <c r="A751" s="233"/>
      <c r="B751" s="206"/>
      <c r="C751" s="205"/>
      <c r="D751" s="206"/>
      <c r="E751" s="207"/>
      <c r="G751" s="234"/>
      <c r="H751" s="206"/>
      <c r="J751" s="224"/>
      <c r="K751" s="230"/>
      <c r="L751" s="231"/>
    </row>
    <row r="752">
      <c r="A752" s="233"/>
      <c r="B752" s="206"/>
      <c r="C752" s="205"/>
      <c r="D752" s="206"/>
      <c r="E752" s="207"/>
      <c r="G752" s="234"/>
      <c r="H752" s="206"/>
      <c r="J752" s="224"/>
      <c r="K752" s="230"/>
      <c r="L752" s="231"/>
    </row>
    <row r="753">
      <c r="A753" s="233"/>
      <c r="B753" s="206"/>
      <c r="C753" s="205"/>
      <c r="D753" s="206"/>
      <c r="E753" s="207"/>
      <c r="G753" s="234"/>
      <c r="H753" s="206"/>
      <c r="J753" s="224"/>
      <c r="K753" s="230"/>
      <c r="L753" s="231"/>
    </row>
    <row r="754">
      <c r="A754" s="233"/>
      <c r="B754" s="206"/>
      <c r="C754" s="205"/>
      <c r="D754" s="206"/>
      <c r="E754" s="207"/>
      <c r="G754" s="234"/>
      <c r="H754" s="206"/>
      <c r="J754" s="224"/>
      <c r="K754" s="230"/>
      <c r="L754" s="231"/>
    </row>
    <row r="755">
      <c r="A755" s="233"/>
      <c r="B755" s="206"/>
      <c r="C755" s="205"/>
      <c r="D755" s="206"/>
      <c r="E755" s="207"/>
      <c r="G755" s="234"/>
      <c r="H755" s="206"/>
      <c r="J755" s="224"/>
      <c r="K755" s="230"/>
      <c r="L755" s="231"/>
    </row>
    <row r="756">
      <c r="A756" s="233"/>
      <c r="B756" s="206"/>
      <c r="C756" s="205"/>
      <c r="D756" s="206"/>
      <c r="E756" s="207"/>
      <c r="G756" s="234"/>
      <c r="H756" s="206"/>
      <c r="J756" s="224"/>
      <c r="K756" s="230"/>
      <c r="L756" s="231"/>
    </row>
    <row r="757">
      <c r="A757" s="233"/>
      <c r="B757" s="206"/>
      <c r="C757" s="205"/>
      <c r="D757" s="206"/>
      <c r="E757" s="207"/>
      <c r="G757" s="234"/>
      <c r="H757" s="206"/>
      <c r="J757" s="224"/>
      <c r="K757" s="230"/>
      <c r="L757" s="231"/>
    </row>
    <row r="758">
      <c r="A758" s="233"/>
      <c r="B758" s="206"/>
      <c r="C758" s="205"/>
      <c r="D758" s="206"/>
      <c r="E758" s="207"/>
      <c r="G758" s="234"/>
      <c r="H758" s="206"/>
      <c r="J758" s="224"/>
      <c r="K758" s="230"/>
      <c r="L758" s="231"/>
    </row>
    <row r="759">
      <c r="A759" s="233"/>
      <c r="B759" s="206"/>
      <c r="C759" s="205"/>
      <c r="D759" s="206"/>
      <c r="E759" s="207"/>
      <c r="G759" s="234"/>
      <c r="H759" s="206"/>
      <c r="J759" s="224"/>
      <c r="K759" s="230"/>
      <c r="L759" s="231"/>
    </row>
    <row r="760">
      <c r="A760" s="233"/>
      <c r="B760" s="206"/>
      <c r="C760" s="205"/>
      <c r="D760" s="206"/>
      <c r="E760" s="207"/>
      <c r="G760" s="234"/>
      <c r="H760" s="206"/>
      <c r="J760" s="224"/>
      <c r="K760" s="230"/>
      <c r="L760" s="231"/>
    </row>
    <row r="761">
      <c r="A761" s="233"/>
      <c r="B761" s="206"/>
      <c r="C761" s="205"/>
      <c r="D761" s="206"/>
      <c r="E761" s="207"/>
      <c r="G761" s="234"/>
      <c r="H761" s="206"/>
      <c r="J761" s="224"/>
      <c r="K761" s="230"/>
      <c r="L761" s="231"/>
    </row>
    <row r="762">
      <c r="A762" s="233"/>
      <c r="B762" s="206"/>
      <c r="C762" s="205"/>
      <c r="D762" s="206"/>
      <c r="E762" s="207"/>
      <c r="G762" s="234"/>
      <c r="H762" s="206"/>
      <c r="J762" s="224"/>
      <c r="K762" s="230"/>
      <c r="L762" s="231"/>
    </row>
    <row r="763">
      <c r="A763" s="233"/>
      <c r="B763" s="206"/>
      <c r="C763" s="205"/>
      <c r="D763" s="206"/>
      <c r="E763" s="207"/>
      <c r="G763" s="234"/>
      <c r="H763" s="206"/>
      <c r="J763" s="224"/>
      <c r="K763" s="230"/>
      <c r="L763" s="231"/>
    </row>
    <row r="764">
      <c r="A764" s="233"/>
      <c r="B764" s="206"/>
      <c r="C764" s="205"/>
      <c r="D764" s="206"/>
      <c r="E764" s="207"/>
      <c r="G764" s="234"/>
      <c r="H764" s="206"/>
      <c r="J764" s="224"/>
      <c r="K764" s="230"/>
      <c r="L764" s="231"/>
    </row>
    <row r="765">
      <c r="A765" s="233"/>
      <c r="B765" s="206"/>
      <c r="C765" s="205"/>
      <c r="D765" s="206"/>
      <c r="E765" s="207"/>
      <c r="G765" s="234"/>
      <c r="H765" s="206"/>
      <c r="J765" s="224"/>
      <c r="K765" s="230"/>
      <c r="L765" s="231"/>
    </row>
    <row r="766">
      <c r="A766" s="233"/>
      <c r="B766" s="206"/>
      <c r="C766" s="205"/>
      <c r="D766" s="206"/>
      <c r="E766" s="207"/>
      <c r="G766" s="234"/>
      <c r="H766" s="206"/>
      <c r="J766" s="224"/>
      <c r="K766" s="230"/>
      <c r="L766" s="231"/>
    </row>
    <row r="767">
      <c r="A767" s="233"/>
      <c r="B767" s="206"/>
      <c r="C767" s="205"/>
      <c r="D767" s="206"/>
      <c r="E767" s="207"/>
      <c r="G767" s="234"/>
      <c r="H767" s="206"/>
      <c r="J767" s="224"/>
      <c r="K767" s="230"/>
      <c r="L767" s="231"/>
    </row>
    <row r="768">
      <c r="A768" s="233"/>
      <c r="B768" s="206"/>
      <c r="C768" s="205"/>
      <c r="D768" s="206"/>
      <c r="E768" s="207"/>
      <c r="G768" s="234"/>
      <c r="H768" s="206"/>
      <c r="J768" s="224"/>
      <c r="K768" s="230"/>
      <c r="L768" s="231"/>
    </row>
    <row r="769">
      <c r="A769" s="233"/>
      <c r="B769" s="206"/>
      <c r="C769" s="205"/>
      <c r="D769" s="206"/>
      <c r="E769" s="207"/>
      <c r="G769" s="234"/>
      <c r="H769" s="206"/>
      <c r="J769" s="224"/>
      <c r="K769" s="230"/>
      <c r="L769" s="231"/>
    </row>
    <row r="770">
      <c r="A770" s="233"/>
      <c r="B770" s="206"/>
      <c r="C770" s="205"/>
      <c r="D770" s="206"/>
      <c r="E770" s="207"/>
      <c r="G770" s="234"/>
      <c r="H770" s="206"/>
      <c r="J770" s="224"/>
      <c r="K770" s="230"/>
      <c r="L770" s="231"/>
    </row>
    <row r="771">
      <c r="A771" s="233"/>
      <c r="B771" s="206"/>
      <c r="C771" s="205"/>
      <c r="D771" s="206"/>
      <c r="E771" s="207"/>
      <c r="G771" s="234"/>
      <c r="H771" s="206"/>
      <c r="J771" s="224"/>
      <c r="K771" s="230"/>
      <c r="L771" s="231"/>
    </row>
    <row r="772">
      <c r="A772" s="233"/>
      <c r="B772" s="206"/>
      <c r="C772" s="205"/>
      <c r="D772" s="206"/>
      <c r="E772" s="207"/>
      <c r="G772" s="234"/>
      <c r="H772" s="206"/>
      <c r="J772" s="224"/>
      <c r="K772" s="230"/>
      <c r="L772" s="231"/>
    </row>
    <row r="773">
      <c r="A773" s="233"/>
      <c r="B773" s="206"/>
      <c r="C773" s="205"/>
      <c r="D773" s="206"/>
      <c r="E773" s="207"/>
      <c r="G773" s="234"/>
      <c r="H773" s="206"/>
      <c r="J773" s="224"/>
      <c r="K773" s="230"/>
      <c r="L773" s="231"/>
    </row>
    <row r="774">
      <c r="A774" s="233"/>
      <c r="B774" s="206"/>
      <c r="C774" s="205"/>
      <c r="D774" s="206"/>
      <c r="E774" s="207"/>
      <c r="G774" s="234"/>
      <c r="H774" s="206"/>
      <c r="J774" s="224"/>
      <c r="K774" s="230"/>
      <c r="L774" s="231"/>
    </row>
    <row r="775">
      <c r="A775" s="233"/>
      <c r="B775" s="206"/>
      <c r="C775" s="205"/>
      <c r="D775" s="206"/>
      <c r="E775" s="207"/>
      <c r="G775" s="234"/>
      <c r="H775" s="206"/>
      <c r="J775" s="224"/>
      <c r="K775" s="230"/>
      <c r="L775" s="231"/>
    </row>
    <row r="776">
      <c r="A776" s="233"/>
      <c r="B776" s="206"/>
      <c r="C776" s="205"/>
      <c r="D776" s="206"/>
      <c r="E776" s="207"/>
      <c r="G776" s="234"/>
      <c r="H776" s="206"/>
      <c r="J776" s="224"/>
      <c r="K776" s="230"/>
      <c r="L776" s="231"/>
    </row>
    <row r="777">
      <c r="A777" s="233"/>
      <c r="B777" s="206"/>
      <c r="C777" s="205"/>
      <c r="D777" s="206"/>
      <c r="E777" s="207"/>
      <c r="G777" s="234"/>
      <c r="H777" s="206"/>
      <c r="J777" s="224"/>
      <c r="K777" s="230"/>
      <c r="L777" s="231"/>
    </row>
    <row r="778">
      <c r="A778" s="233"/>
      <c r="B778" s="206"/>
      <c r="C778" s="205"/>
      <c r="D778" s="206"/>
      <c r="E778" s="207"/>
      <c r="G778" s="234"/>
      <c r="H778" s="206"/>
      <c r="J778" s="224"/>
      <c r="K778" s="230"/>
      <c r="L778" s="231"/>
    </row>
    <row r="779">
      <c r="A779" s="233"/>
      <c r="B779" s="206"/>
      <c r="C779" s="205"/>
      <c r="D779" s="206"/>
      <c r="E779" s="207"/>
      <c r="G779" s="234"/>
      <c r="H779" s="206"/>
      <c r="J779" s="224"/>
      <c r="K779" s="230"/>
      <c r="L779" s="231"/>
    </row>
    <row r="780">
      <c r="A780" s="233"/>
      <c r="B780" s="206"/>
      <c r="C780" s="205"/>
      <c r="D780" s="206"/>
      <c r="E780" s="207"/>
      <c r="G780" s="234"/>
      <c r="H780" s="206"/>
      <c r="J780" s="224"/>
      <c r="K780" s="230"/>
      <c r="L780" s="231"/>
    </row>
    <row r="781">
      <c r="A781" s="233"/>
      <c r="B781" s="206"/>
      <c r="C781" s="205"/>
      <c r="D781" s="206"/>
      <c r="E781" s="207"/>
      <c r="G781" s="234"/>
      <c r="H781" s="206"/>
      <c r="J781" s="224"/>
      <c r="K781" s="230"/>
      <c r="L781" s="231"/>
    </row>
    <row r="782">
      <c r="A782" s="233"/>
      <c r="B782" s="206"/>
      <c r="C782" s="205"/>
      <c r="D782" s="206"/>
      <c r="E782" s="207"/>
      <c r="G782" s="234"/>
      <c r="H782" s="206"/>
      <c r="J782" s="224"/>
      <c r="K782" s="230"/>
      <c r="L782" s="231"/>
    </row>
    <row r="783">
      <c r="A783" s="233"/>
      <c r="B783" s="206"/>
      <c r="C783" s="205"/>
      <c r="D783" s="206"/>
      <c r="E783" s="207"/>
      <c r="G783" s="234"/>
      <c r="H783" s="206"/>
      <c r="J783" s="224"/>
      <c r="K783" s="230"/>
      <c r="L783" s="231"/>
    </row>
    <row r="784">
      <c r="A784" s="233"/>
      <c r="B784" s="206"/>
      <c r="C784" s="205"/>
      <c r="D784" s="206"/>
      <c r="E784" s="207"/>
      <c r="G784" s="234"/>
      <c r="H784" s="206"/>
      <c r="J784" s="224"/>
      <c r="K784" s="230"/>
      <c r="L784" s="231"/>
    </row>
    <row r="785">
      <c r="A785" s="233"/>
      <c r="B785" s="206"/>
      <c r="C785" s="205"/>
      <c r="D785" s="206"/>
      <c r="E785" s="207"/>
      <c r="G785" s="234"/>
      <c r="H785" s="206"/>
      <c r="J785" s="224"/>
      <c r="K785" s="230"/>
      <c r="L785" s="231"/>
    </row>
    <row r="786">
      <c r="A786" s="233"/>
      <c r="B786" s="206"/>
      <c r="C786" s="205"/>
      <c r="D786" s="206"/>
      <c r="E786" s="207"/>
      <c r="G786" s="234"/>
      <c r="H786" s="206"/>
      <c r="J786" s="224"/>
      <c r="K786" s="230"/>
      <c r="L786" s="231"/>
    </row>
    <row r="787">
      <c r="A787" s="233"/>
      <c r="B787" s="206"/>
      <c r="C787" s="205"/>
      <c r="D787" s="206"/>
      <c r="E787" s="207"/>
      <c r="G787" s="234"/>
      <c r="H787" s="206"/>
      <c r="J787" s="224"/>
      <c r="K787" s="230"/>
      <c r="L787" s="231"/>
    </row>
    <row r="788">
      <c r="A788" s="233"/>
      <c r="B788" s="206"/>
      <c r="C788" s="205"/>
      <c r="D788" s="206"/>
      <c r="E788" s="207"/>
      <c r="G788" s="234"/>
      <c r="H788" s="206"/>
      <c r="J788" s="224"/>
      <c r="K788" s="230"/>
      <c r="L788" s="231"/>
    </row>
    <row r="789">
      <c r="A789" s="233"/>
      <c r="B789" s="206"/>
      <c r="C789" s="205"/>
      <c r="D789" s="206"/>
      <c r="E789" s="207"/>
      <c r="G789" s="234"/>
      <c r="H789" s="206"/>
      <c r="J789" s="224"/>
      <c r="K789" s="230"/>
      <c r="L789" s="231"/>
    </row>
    <row r="790">
      <c r="A790" s="233"/>
      <c r="B790" s="206"/>
      <c r="C790" s="205"/>
      <c r="D790" s="206"/>
      <c r="E790" s="207"/>
      <c r="G790" s="234"/>
      <c r="H790" s="206"/>
      <c r="J790" s="224"/>
      <c r="K790" s="230"/>
      <c r="L790" s="231"/>
    </row>
    <row r="791">
      <c r="A791" s="233"/>
      <c r="B791" s="206"/>
      <c r="C791" s="205"/>
      <c r="D791" s="206"/>
      <c r="E791" s="207"/>
      <c r="G791" s="234"/>
      <c r="H791" s="206"/>
      <c r="J791" s="224"/>
      <c r="K791" s="230"/>
      <c r="L791" s="231"/>
    </row>
    <row r="792">
      <c r="A792" s="233"/>
      <c r="B792" s="206"/>
      <c r="C792" s="205"/>
      <c r="D792" s="206"/>
      <c r="E792" s="207"/>
      <c r="G792" s="234"/>
      <c r="H792" s="206"/>
      <c r="J792" s="224"/>
      <c r="K792" s="230"/>
      <c r="L792" s="231"/>
    </row>
    <row r="793">
      <c r="A793" s="233"/>
      <c r="B793" s="206"/>
      <c r="C793" s="205"/>
      <c r="D793" s="206"/>
      <c r="E793" s="207"/>
      <c r="G793" s="234"/>
      <c r="H793" s="206"/>
      <c r="J793" s="224"/>
      <c r="K793" s="230"/>
      <c r="L793" s="231"/>
    </row>
    <row r="794">
      <c r="A794" s="233"/>
      <c r="B794" s="206"/>
      <c r="C794" s="205"/>
      <c r="D794" s="206"/>
      <c r="E794" s="207"/>
      <c r="G794" s="234"/>
      <c r="H794" s="206"/>
      <c r="J794" s="224"/>
      <c r="K794" s="230"/>
      <c r="L794" s="231"/>
    </row>
    <row r="795">
      <c r="A795" s="233"/>
      <c r="B795" s="206"/>
      <c r="C795" s="205"/>
      <c r="D795" s="206"/>
      <c r="E795" s="207"/>
      <c r="G795" s="234"/>
      <c r="H795" s="206"/>
      <c r="J795" s="224"/>
      <c r="K795" s="230"/>
      <c r="L795" s="231"/>
    </row>
    <row r="796">
      <c r="A796" s="233"/>
      <c r="B796" s="206"/>
      <c r="C796" s="205"/>
      <c r="D796" s="206"/>
      <c r="E796" s="207"/>
      <c r="G796" s="234"/>
      <c r="H796" s="206"/>
      <c r="J796" s="224"/>
      <c r="K796" s="230"/>
      <c r="L796" s="231"/>
    </row>
    <row r="797">
      <c r="A797" s="233"/>
      <c r="B797" s="206"/>
      <c r="C797" s="205"/>
      <c r="D797" s="206"/>
      <c r="E797" s="207"/>
      <c r="G797" s="234"/>
      <c r="H797" s="206"/>
      <c r="J797" s="224"/>
      <c r="K797" s="230"/>
      <c r="L797" s="231"/>
    </row>
    <row r="798">
      <c r="A798" s="233"/>
      <c r="B798" s="206"/>
      <c r="C798" s="205"/>
      <c r="D798" s="206"/>
      <c r="E798" s="207"/>
      <c r="G798" s="234"/>
      <c r="H798" s="206"/>
      <c r="J798" s="224"/>
      <c r="K798" s="230"/>
      <c r="L798" s="231"/>
    </row>
    <row r="799">
      <c r="A799" s="233"/>
      <c r="B799" s="206"/>
      <c r="C799" s="205"/>
      <c r="D799" s="206"/>
      <c r="E799" s="207"/>
      <c r="G799" s="234"/>
      <c r="H799" s="206"/>
      <c r="J799" s="224"/>
      <c r="K799" s="230"/>
      <c r="L799" s="231"/>
    </row>
    <row r="800">
      <c r="A800" s="233"/>
      <c r="B800" s="206"/>
      <c r="C800" s="205"/>
      <c r="D800" s="206"/>
      <c r="E800" s="207"/>
      <c r="G800" s="234"/>
      <c r="H800" s="206"/>
      <c r="J800" s="224"/>
      <c r="K800" s="230"/>
      <c r="L800" s="231"/>
    </row>
    <row r="801">
      <c r="A801" s="233"/>
      <c r="B801" s="206"/>
      <c r="C801" s="205"/>
      <c r="D801" s="206"/>
      <c r="E801" s="207"/>
      <c r="G801" s="234"/>
      <c r="H801" s="206"/>
      <c r="J801" s="224"/>
      <c r="K801" s="230"/>
      <c r="L801" s="231"/>
    </row>
    <row r="802">
      <c r="A802" s="233"/>
      <c r="B802" s="206"/>
      <c r="C802" s="205"/>
      <c r="D802" s="206"/>
      <c r="E802" s="207"/>
      <c r="G802" s="234"/>
      <c r="H802" s="206"/>
      <c r="J802" s="224"/>
      <c r="K802" s="230"/>
      <c r="L802" s="231"/>
    </row>
    <row r="803">
      <c r="A803" s="233"/>
      <c r="B803" s="206"/>
      <c r="C803" s="205"/>
      <c r="D803" s="206"/>
      <c r="E803" s="207"/>
      <c r="G803" s="234"/>
      <c r="H803" s="206"/>
      <c r="J803" s="224"/>
      <c r="K803" s="230"/>
      <c r="L803" s="231"/>
    </row>
    <row r="804">
      <c r="A804" s="233"/>
      <c r="B804" s="206"/>
      <c r="C804" s="205"/>
      <c r="D804" s="206"/>
      <c r="E804" s="207"/>
      <c r="G804" s="234"/>
      <c r="H804" s="206"/>
      <c r="J804" s="224"/>
      <c r="K804" s="230"/>
      <c r="L804" s="231"/>
    </row>
    <row r="805">
      <c r="A805" s="233"/>
      <c r="B805" s="206"/>
      <c r="C805" s="205"/>
      <c r="D805" s="206"/>
      <c r="E805" s="207"/>
      <c r="G805" s="234"/>
      <c r="H805" s="206"/>
      <c r="J805" s="224"/>
      <c r="K805" s="230"/>
      <c r="L805" s="231"/>
    </row>
    <row r="806">
      <c r="A806" s="233"/>
      <c r="B806" s="206"/>
      <c r="C806" s="205"/>
      <c r="D806" s="206"/>
      <c r="E806" s="207"/>
      <c r="G806" s="234"/>
      <c r="H806" s="206"/>
      <c r="J806" s="224"/>
      <c r="K806" s="230"/>
      <c r="L806" s="231"/>
    </row>
    <row r="807">
      <c r="A807" s="233"/>
      <c r="B807" s="206"/>
      <c r="C807" s="205"/>
      <c r="D807" s="206"/>
      <c r="E807" s="207"/>
      <c r="G807" s="234"/>
      <c r="H807" s="206"/>
      <c r="J807" s="224"/>
      <c r="K807" s="230"/>
      <c r="L807" s="231"/>
    </row>
    <row r="808">
      <c r="A808" s="233"/>
      <c r="B808" s="206"/>
      <c r="C808" s="205"/>
      <c r="D808" s="206"/>
      <c r="E808" s="207"/>
      <c r="G808" s="234"/>
      <c r="H808" s="206"/>
      <c r="J808" s="224"/>
      <c r="K808" s="230"/>
      <c r="L808" s="231"/>
    </row>
    <row r="809">
      <c r="A809" s="233"/>
      <c r="B809" s="206"/>
      <c r="C809" s="205"/>
      <c r="D809" s="206"/>
      <c r="E809" s="207"/>
      <c r="G809" s="234"/>
      <c r="H809" s="206"/>
      <c r="J809" s="224"/>
      <c r="K809" s="230"/>
      <c r="L809" s="231"/>
    </row>
    <row r="810">
      <c r="A810" s="233"/>
      <c r="B810" s="206"/>
      <c r="C810" s="205"/>
      <c r="D810" s="206"/>
      <c r="E810" s="207"/>
      <c r="G810" s="234"/>
      <c r="H810" s="206"/>
      <c r="J810" s="224"/>
      <c r="K810" s="230"/>
      <c r="L810" s="231"/>
    </row>
    <row r="811">
      <c r="A811" s="233"/>
      <c r="B811" s="206"/>
      <c r="C811" s="205"/>
      <c r="D811" s="206"/>
      <c r="E811" s="207"/>
      <c r="G811" s="234"/>
      <c r="H811" s="206"/>
      <c r="J811" s="224"/>
      <c r="K811" s="230"/>
      <c r="L811" s="231"/>
    </row>
    <row r="812">
      <c r="A812" s="233"/>
      <c r="B812" s="206"/>
      <c r="C812" s="205"/>
      <c r="D812" s="206"/>
      <c r="E812" s="207"/>
      <c r="G812" s="234"/>
      <c r="H812" s="206"/>
      <c r="J812" s="224"/>
      <c r="K812" s="230"/>
      <c r="L812" s="231"/>
    </row>
    <row r="813">
      <c r="A813" s="233"/>
      <c r="B813" s="206"/>
      <c r="C813" s="205"/>
      <c r="D813" s="206"/>
      <c r="E813" s="207"/>
      <c r="G813" s="234"/>
      <c r="H813" s="206"/>
      <c r="J813" s="224"/>
      <c r="K813" s="230"/>
      <c r="L813" s="231"/>
    </row>
    <row r="814">
      <c r="A814" s="233"/>
      <c r="B814" s="206"/>
      <c r="C814" s="205"/>
      <c r="D814" s="206"/>
      <c r="E814" s="207"/>
      <c r="G814" s="234"/>
      <c r="H814" s="206"/>
      <c r="J814" s="224"/>
      <c r="K814" s="230"/>
      <c r="L814" s="231"/>
    </row>
    <row r="815">
      <c r="A815" s="233"/>
      <c r="B815" s="206"/>
      <c r="C815" s="205"/>
      <c r="D815" s="206"/>
      <c r="E815" s="207"/>
      <c r="G815" s="234"/>
      <c r="H815" s="206"/>
      <c r="J815" s="224"/>
      <c r="K815" s="230"/>
      <c r="L815" s="231"/>
    </row>
    <row r="816">
      <c r="A816" s="233"/>
      <c r="B816" s="206"/>
      <c r="C816" s="205"/>
      <c r="D816" s="206"/>
      <c r="E816" s="207"/>
      <c r="G816" s="234"/>
      <c r="H816" s="206"/>
      <c r="J816" s="224"/>
      <c r="K816" s="230"/>
      <c r="L816" s="231"/>
    </row>
    <row r="817">
      <c r="A817" s="233"/>
      <c r="B817" s="206"/>
      <c r="C817" s="205"/>
      <c r="D817" s="206"/>
      <c r="E817" s="207"/>
      <c r="G817" s="234"/>
      <c r="H817" s="206"/>
      <c r="J817" s="224"/>
      <c r="K817" s="230"/>
      <c r="L817" s="231"/>
    </row>
    <row r="818">
      <c r="A818" s="233"/>
      <c r="B818" s="206"/>
      <c r="C818" s="205"/>
      <c r="D818" s="206"/>
      <c r="E818" s="207"/>
      <c r="G818" s="234"/>
      <c r="H818" s="206"/>
      <c r="J818" s="224"/>
      <c r="K818" s="230"/>
      <c r="L818" s="231"/>
    </row>
    <row r="819">
      <c r="A819" s="233"/>
      <c r="B819" s="206"/>
      <c r="C819" s="205"/>
      <c r="D819" s="206"/>
      <c r="E819" s="207"/>
      <c r="G819" s="234"/>
      <c r="H819" s="206"/>
      <c r="J819" s="224"/>
      <c r="K819" s="230"/>
      <c r="L819" s="231"/>
    </row>
    <row r="820">
      <c r="A820" s="233"/>
      <c r="B820" s="206"/>
      <c r="C820" s="205"/>
      <c r="D820" s="206"/>
      <c r="E820" s="207"/>
      <c r="G820" s="234"/>
      <c r="H820" s="206"/>
      <c r="J820" s="224"/>
      <c r="K820" s="230"/>
      <c r="L820" s="231"/>
    </row>
    <row r="821">
      <c r="A821" s="233"/>
      <c r="B821" s="206"/>
      <c r="C821" s="205"/>
      <c r="D821" s="206"/>
      <c r="E821" s="207"/>
      <c r="G821" s="234"/>
      <c r="H821" s="206"/>
      <c r="J821" s="224"/>
      <c r="K821" s="230"/>
      <c r="L821" s="231"/>
    </row>
    <row r="822">
      <c r="A822" s="233"/>
      <c r="B822" s="206"/>
      <c r="C822" s="205"/>
      <c r="D822" s="206"/>
      <c r="E822" s="207"/>
      <c r="G822" s="234"/>
      <c r="H822" s="206"/>
      <c r="J822" s="224"/>
      <c r="K822" s="230"/>
      <c r="L822" s="231"/>
    </row>
    <row r="823">
      <c r="A823" s="233"/>
      <c r="B823" s="206"/>
      <c r="C823" s="205"/>
      <c r="D823" s="206"/>
      <c r="E823" s="207"/>
      <c r="G823" s="234"/>
      <c r="H823" s="206"/>
      <c r="J823" s="224"/>
      <c r="K823" s="230"/>
      <c r="L823" s="231"/>
    </row>
    <row r="824">
      <c r="A824" s="233"/>
      <c r="B824" s="206"/>
      <c r="C824" s="205"/>
      <c r="D824" s="206"/>
      <c r="E824" s="207"/>
      <c r="G824" s="234"/>
      <c r="H824" s="206"/>
      <c r="J824" s="224"/>
      <c r="K824" s="230"/>
      <c r="L824" s="231"/>
    </row>
    <row r="825">
      <c r="A825" s="233"/>
      <c r="B825" s="206"/>
      <c r="C825" s="205"/>
      <c r="D825" s="206"/>
      <c r="E825" s="207"/>
      <c r="G825" s="234"/>
      <c r="H825" s="206"/>
      <c r="J825" s="224"/>
      <c r="K825" s="230"/>
      <c r="L825" s="231"/>
    </row>
    <row r="826">
      <c r="A826" s="233"/>
      <c r="B826" s="206"/>
      <c r="C826" s="205"/>
      <c r="D826" s="206"/>
      <c r="E826" s="207"/>
      <c r="G826" s="234"/>
      <c r="H826" s="206"/>
      <c r="J826" s="224"/>
      <c r="K826" s="230"/>
      <c r="L826" s="231"/>
    </row>
    <row r="827">
      <c r="A827" s="233"/>
      <c r="B827" s="206"/>
      <c r="C827" s="205"/>
      <c r="D827" s="206"/>
      <c r="E827" s="207"/>
      <c r="G827" s="234"/>
      <c r="H827" s="206"/>
      <c r="J827" s="224"/>
      <c r="K827" s="230"/>
      <c r="L827" s="231"/>
    </row>
    <row r="828">
      <c r="A828" s="233"/>
      <c r="B828" s="206"/>
      <c r="C828" s="205"/>
      <c r="D828" s="206"/>
      <c r="E828" s="207"/>
      <c r="G828" s="234"/>
      <c r="H828" s="206"/>
      <c r="J828" s="224"/>
      <c r="K828" s="230"/>
      <c r="L828" s="231"/>
    </row>
    <row r="829">
      <c r="A829" s="233"/>
      <c r="B829" s="206"/>
      <c r="C829" s="205"/>
      <c r="D829" s="206"/>
      <c r="E829" s="207"/>
      <c r="G829" s="234"/>
      <c r="H829" s="206"/>
      <c r="J829" s="224"/>
      <c r="K829" s="230"/>
      <c r="L829" s="231"/>
    </row>
    <row r="830">
      <c r="A830" s="233"/>
      <c r="B830" s="206"/>
      <c r="C830" s="205"/>
      <c r="D830" s="206"/>
      <c r="E830" s="207"/>
      <c r="G830" s="234"/>
      <c r="H830" s="206"/>
      <c r="J830" s="224"/>
      <c r="K830" s="230"/>
      <c r="L830" s="231"/>
    </row>
    <row r="831">
      <c r="A831" s="233"/>
      <c r="B831" s="206"/>
      <c r="C831" s="205"/>
      <c r="D831" s="206"/>
      <c r="E831" s="207"/>
      <c r="G831" s="234"/>
      <c r="H831" s="206"/>
      <c r="J831" s="224"/>
      <c r="K831" s="230"/>
      <c r="L831" s="231"/>
    </row>
    <row r="832">
      <c r="A832" s="233"/>
      <c r="B832" s="206"/>
      <c r="C832" s="205"/>
      <c r="D832" s="206"/>
      <c r="E832" s="207"/>
      <c r="G832" s="234"/>
      <c r="H832" s="206"/>
      <c r="J832" s="224"/>
      <c r="K832" s="230"/>
      <c r="L832" s="231"/>
    </row>
    <row r="833">
      <c r="A833" s="233"/>
      <c r="B833" s="206"/>
      <c r="C833" s="205"/>
      <c r="D833" s="206"/>
      <c r="E833" s="207"/>
      <c r="G833" s="234"/>
      <c r="H833" s="206"/>
      <c r="J833" s="224"/>
      <c r="K833" s="230"/>
      <c r="L833" s="231"/>
    </row>
    <row r="834">
      <c r="A834" s="233"/>
      <c r="B834" s="206"/>
      <c r="C834" s="205"/>
      <c r="D834" s="206"/>
      <c r="E834" s="207"/>
      <c r="G834" s="234"/>
      <c r="H834" s="206"/>
      <c r="J834" s="224"/>
      <c r="K834" s="230"/>
      <c r="L834" s="231"/>
    </row>
    <row r="835">
      <c r="A835" s="233"/>
      <c r="B835" s="206"/>
      <c r="C835" s="205"/>
      <c r="D835" s="206"/>
      <c r="E835" s="207"/>
      <c r="G835" s="234"/>
      <c r="H835" s="206"/>
      <c r="J835" s="224"/>
      <c r="K835" s="230"/>
      <c r="L835" s="231"/>
    </row>
    <row r="836">
      <c r="A836" s="233"/>
      <c r="B836" s="206"/>
      <c r="C836" s="205"/>
      <c r="D836" s="206"/>
      <c r="E836" s="207"/>
      <c r="G836" s="234"/>
      <c r="H836" s="206"/>
      <c r="J836" s="224"/>
      <c r="K836" s="230"/>
      <c r="L836" s="231"/>
    </row>
    <row r="837">
      <c r="A837" s="233"/>
      <c r="B837" s="206"/>
      <c r="C837" s="205"/>
      <c r="D837" s="206"/>
      <c r="E837" s="207"/>
      <c r="G837" s="234"/>
      <c r="H837" s="206"/>
      <c r="J837" s="224"/>
      <c r="K837" s="230"/>
      <c r="L837" s="231"/>
    </row>
    <row r="838">
      <c r="A838" s="233"/>
      <c r="B838" s="206"/>
      <c r="C838" s="205"/>
      <c r="D838" s="206"/>
      <c r="E838" s="207"/>
      <c r="G838" s="234"/>
      <c r="H838" s="206"/>
      <c r="J838" s="224"/>
      <c r="K838" s="230"/>
      <c r="L838" s="231"/>
    </row>
    <row r="839">
      <c r="A839" s="233"/>
      <c r="B839" s="206"/>
      <c r="C839" s="205"/>
      <c r="D839" s="206"/>
      <c r="E839" s="207"/>
      <c r="G839" s="234"/>
      <c r="H839" s="206"/>
      <c r="J839" s="224"/>
      <c r="K839" s="230"/>
      <c r="L839" s="231"/>
    </row>
    <row r="840">
      <c r="A840" s="233"/>
      <c r="B840" s="206"/>
      <c r="C840" s="205"/>
      <c r="D840" s="206"/>
      <c r="E840" s="207"/>
      <c r="G840" s="234"/>
      <c r="H840" s="206"/>
      <c r="J840" s="224"/>
      <c r="K840" s="230"/>
      <c r="L840" s="231"/>
    </row>
    <row r="841">
      <c r="A841" s="233"/>
      <c r="B841" s="206"/>
      <c r="C841" s="205"/>
      <c r="D841" s="206"/>
      <c r="E841" s="207"/>
      <c r="G841" s="234"/>
      <c r="H841" s="206"/>
      <c r="J841" s="224"/>
      <c r="K841" s="230"/>
      <c r="L841" s="231"/>
    </row>
    <row r="842">
      <c r="A842" s="233"/>
      <c r="B842" s="206"/>
      <c r="C842" s="205"/>
      <c r="D842" s="206"/>
      <c r="E842" s="207"/>
      <c r="G842" s="234"/>
      <c r="H842" s="206"/>
      <c r="J842" s="224"/>
      <c r="K842" s="230"/>
      <c r="L842" s="231"/>
    </row>
    <row r="843">
      <c r="A843" s="233"/>
      <c r="B843" s="206"/>
      <c r="C843" s="205"/>
      <c r="D843" s="206"/>
      <c r="E843" s="207"/>
      <c r="G843" s="234"/>
      <c r="H843" s="206"/>
      <c r="J843" s="224"/>
      <c r="K843" s="230"/>
      <c r="L843" s="231"/>
    </row>
    <row r="844">
      <c r="A844" s="233"/>
      <c r="B844" s="206"/>
      <c r="C844" s="205"/>
      <c r="D844" s="206"/>
      <c r="E844" s="207"/>
      <c r="G844" s="234"/>
      <c r="H844" s="206"/>
      <c r="J844" s="224"/>
      <c r="K844" s="230"/>
      <c r="L844" s="231"/>
    </row>
    <row r="845">
      <c r="A845" s="233"/>
      <c r="B845" s="206"/>
      <c r="C845" s="205"/>
      <c r="D845" s="206"/>
      <c r="E845" s="207"/>
      <c r="G845" s="234"/>
      <c r="H845" s="206"/>
      <c r="J845" s="224"/>
      <c r="K845" s="230"/>
      <c r="L845" s="231"/>
    </row>
    <row r="846">
      <c r="A846" s="233"/>
      <c r="B846" s="206"/>
      <c r="C846" s="205"/>
      <c r="D846" s="206"/>
      <c r="E846" s="207"/>
      <c r="G846" s="234"/>
      <c r="H846" s="206"/>
      <c r="J846" s="224"/>
      <c r="K846" s="230"/>
      <c r="L846" s="231"/>
    </row>
    <row r="847">
      <c r="A847" s="233"/>
      <c r="B847" s="206"/>
      <c r="C847" s="205"/>
      <c r="D847" s="206"/>
      <c r="E847" s="207"/>
      <c r="G847" s="234"/>
      <c r="H847" s="206"/>
      <c r="J847" s="224"/>
      <c r="K847" s="230"/>
      <c r="L847" s="231"/>
    </row>
    <row r="848">
      <c r="A848" s="233"/>
      <c r="B848" s="206"/>
      <c r="C848" s="205"/>
      <c r="D848" s="206"/>
      <c r="E848" s="207"/>
      <c r="G848" s="234"/>
      <c r="H848" s="206"/>
      <c r="J848" s="224"/>
      <c r="K848" s="230"/>
      <c r="L848" s="231"/>
    </row>
    <row r="849">
      <c r="A849" s="233"/>
      <c r="B849" s="206"/>
      <c r="C849" s="205"/>
      <c r="D849" s="206"/>
      <c r="E849" s="207"/>
      <c r="G849" s="234"/>
      <c r="H849" s="206"/>
      <c r="J849" s="224"/>
      <c r="K849" s="230"/>
      <c r="L849" s="231"/>
    </row>
    <row r="850">
      <c r="A850" s="233"/>
      <c r="B850" s="206"/>
      <c r="C850" s="205"/>
      <c r="D850" s="206"/>
      <c r="E850" s="207"/>
      <c r="G850" s="234"/>
      <c r="H850" s="206"/>
      <c r="J850" s="224"/>
      <c r="K850" s="230"/>
      <c r="L850" s="231"/>
    </row>
    <row r="851">
      <c r="A851" s="233"/>
      <c r="B851" s="206"/>
      <c r="C851" s="205"/>
      <c r="D851" s="206"/>
      <c r="E851" s="207"/>
      <c r="G851" s="234"/>
      <c r="H851" s="206"/>
      <c r="J851" s="224"/>
      <c r="K851" s="230"/>
      <c r="L851" s="231"/>
    </row>
    <row r="852">
      <c r="A852" s="233"/>
      <c r="B852" s="206"/>
      <c r="C852" s="205"/>
      <c r="D852" s="206"/>
      <c r="E852" s="207"/>
      <c r="G852" s="234"/>
      <c r="H852" s="206"/>
      <c r="J852" s="224"/>
      <c r="K852" s="230"/>
      <c r="L852" s="231"/>
    </row>
    <row r="853">
      <c r="A853" s="233"/>
      <c r="B853" s="206"/>
      <c r="C853" s="205"/>
      <c r="D853" s="206"/>
      <c r="E853" s="207"/>
      <c r="G853" s="234"/>
      <c r="H853" s="206"/>
      <c r="J853" s="224"/>
      <c r="K853" s="230"/>
      <c r="L853" s="231"/>
    </row>
    <row r="854">
      <c r="A854" s="233"/>
      <c r="B854" s="206"/>
      <c r="C854" s="205"/>
      <c r="D854" s="206"/>
      <c r="E854" s="207"/>
      <c r="G854" s="234"/>
      <c r="H854" s="206"/>
      <c r="J854" s="224"/>
      <c r="K854" s="230"/>
      <c r="L854" s="231"/>
    </row>
    <row r="855">
      <c r="A855" s="233"/>
      <c r="B855" s="206"/>
      <c r="C855" s="205"/>
      <c r="D855" s="206"/>
      <c r="E855" s="207"/>
      <c r="G855" s="234"/>
      <c r="H855" s="206"/>
      <c r="J855" s="224"/>
      <c r="K855" s="230"/>
      <c r="L855" s="231"/>
    </row>
    <row r="856">
      <c r="A856" s="233"/>
      <c r="B856" s="206"/>
      <c r="C856" s="205"/>
      <c r="D856" s="206"/>
      <c r="E856" s="207"/>
      <c r="G856" s="234"/>
      <c r="H856" s="206"/>
      <c r="J856" s="224"/>
      <c r="K856" s="230"/>
      <c r="L856" s="231"/>
    </row>
    <row r="857">
      <c r="A857" s="233"/>
      <c r="B857" s="206"/>
      <c r="C857" s="205"/>
      <c r="D857" s="206"/>
      <c r="E857" s="207"/>
      <c r="G857" s="234"/>
      <c r="H857" s="206"/>
      <c r="J857" s="224"/>
      <c r="K857" s="230"/>
      <c r="L857" s="231"/>
    </row>
    <row r="858">
      <c r="A858" s="233"/>
      <c r="B858" s="206"/>
      <c r="C858" s="205"/>
      <c r="D858" s="206"/>
      <c r="E858" s="207"/>
      <c r="G858" s="234"/>
      <c r="H858" s="206"/>
      <c r="J858" s="224"/>
      <c r="K858" s="230"/>
      <c r="L858" s="231"/>
    </row>
    <row r="859">
      <c r="A859" s="233"/>
      <c r="B859" s="206"/>
      <c r="C859" s="205"/>
      <c r="D859" s="206"/>
      <c r="E859" s="207"/>
      <c r="G859" s="234"/>
      <c r="H859" s="206"/>
      <c r="J859" s="224"/>
      <c r="K859" s="230"/>
      <c r="L859" s="231"/>
    </row>
    <row r="860">
      <c r="A860" s="233"/>
      <c r="B860" s="206"/>
      <c r="C860" s="205"/>
      <c r="D860" s="206"/>
      <c r="E860" s="207"/>
      <c r="G860" s="234"/>
      <c r="H860" s="206"/>
      <c r="J860" s="224"/>
      <c r="K860" s="230"/>
      <c r="L860" s="231"/>
    </row>
    <row r="861">
      <c r="A861" s="233"/>
      <c r="B861" s="206"/>
      <c r="C861" s="205"/>
      <c r="D861" s="206"/>
      <c r="E861" s="207"/>
      <c r="G861" s="234"/>
      <c r="H861" s="206"/>
      <c r="J861" s="224"/>
      <c r="K861" s="230"/>
      <c r="L861" s="231"/>
    </row>
    <row r="862">
      <c r="A862" s="233"/>
      <c r="B862" s="206"/>
      <c r="C862" s="205"/>
      <c r="D862" s="206"/>
      <c r="E862" s="207"/>
      <c r="G862" s="234"/>
      <c r="H862" s="206"/>
      <c r="J862" s="224"/>
      <c r="K862" s="230"/>
      <c r="L862" s="231"/>
    </row>
    <row r="863">
      <c r="A863" s="233"/>
      <c r="B863" s="206"/>
      <c r="C863" s="205"/>
      <c r="D863" s="206"/>
      <c r="E863" s="207"/>
      <c r="G863" s="234"/>
      <c r="H863" s="206"/>
      <c r="J863" s="224"/>
      <c r="K863" s="230"/>
      <c r="L863" s="231"/>
    </row>
    <row r="864">
      <c r="A864" s="233"/>
      <c r="B864" s="206"/>
      <c r="C864" s="205"/>
      <c r="D864" s="206"/>
      <c r="E864" s="207"/>
      <c r="G864" s="234"/>
      <c r="H864" s="206"/>
      <c r="J864" s="224"/>
      <c r="K864" s="230"/>
      <c r="L864" s="231"/>
    </row>
    <row r="865">
      <c r="A865" s="233"/>
      <c r="B865" s="206"/>
      <c r="C865" s="205"/>
      <c r="D865" s="206"/>
      <c r="E865" s="207"/>
      <c r="G865" s="234"/>
      <c r="H865" s="206"/>
      <c r="J865" s="224"/>
      <c r="K865" s="230"/>
      <c r="L865" s="231"/>
    </row>
    <row r="866">
      <c r="A866" s="233"/>
      <c r="B866" s="206"/>
      <c r="C866" s="205"/>
      <c r="D866" s="206"/>
      <c r="E866" s="207"/>
      <c r="G866" s="234"/>
      <c r="H866" s="206"/>
      <c r="J866" s="224"/>
      <c r="K866" s="230"/>
      <c r="L866" s="231"/>
    </row>
    <row r="867">
      <c r="A867" s="233"/>
      <c r="B867" s="206"/>
      <c r="C867" s="205"/>
      <c r="D867" s="206"/>
      <c r="E867" s="207"/>
      <c r="G867" s="234"/>
      <c r="H867" s="206"/>
      <c r="J867" s="224"/>
      <c r="K867" s="230"/>
      <c r="L867" s="231"/>
    </row>
    <row r="868">
      <c r="A868" s="233"/>
      <c r="B868" s="206"/>
      <c r="C868" s="205"/>
      <c r="D868" s="206"/>
      <c r="E868" s="207"/>
      <c r="G868" s="234"/>
      <c r="H868" s="206"/>
      <c r="J868" s="224"/>
      <c r="K868" s="230"/>
      <c r="L868" s="231"/>
    </row>
    <row r="869">
      <c r="A869" s="233"/>
      <c r="B869" s="206"/>
      <c r="C869" s="205"/>
      <c r="D869" s="206"/>
      <c r="E869" s="207"/>
      <c r="G869" s="234"/>
      <c r="H869" s="206"/>
      <c r="J869" s="224"/>
      <c r="K869" s="230"/>
      <c r="L869" s="231"/>
    </row>
    <row r="870">
      <c r="A870" s="233"/>
      <c r="B870" s="206"/>
      <c r="C870" s="205"/>
      <c r="D870" s="206"/>
      <c r="E870" s="207"/>
      <c r="G870" s="234"/>
      <c r="H870" s="206"/>
      <c r="J870" s="224"/>
      <c r="K870" s="230"/>
      <c r="L870" s="231"/>
    </row>
    <row r="871">
      <c r="A871" s="233"/>
      <c r="B871" s="206"/>
      <c r="C871" s="205"/>
      <c r="D871" s="206"/>
      <c r="E871" s="207"/>
      <c r="G871" s="234"/>
      <c r="H871" s="206"/>
      <c r="J871" s="224"/>
      <c r="K871" s="230"/>
      <c r="L871" s="231"/>
    </row>
    <row r="872">
      <c r="A872" s="233"/>
      <c r="B872" s="206"/>
      <c r="C872" s="205"/>
      <c r="D872" s="206"/>
      <c r="E872" s="207"/>
      <c r="G872" s="234"/>
      <c r="H872" s="206"/>
      <c r="J872" s="224"/>
      <c r="K872" s="230"/>
      <c r="L872" s="231"/>
    </row>
    <row r="873">
      <c r="A873" s="233"/>
      <c r="B873" s="206"/>
      <c r="C873" s="205"/>
      <c r="D873" s="206"/>
      <c r="E873" s="207"/>
      <c r="G873" s="234"/>
      <c r="H873" s="206"/>
      <c r="J873" s="224"/>
      <c r="K873" s="230"/>
      <c r="L873" s="231"/>
    </row>
    <row r="874">
      <c r="A874" s="233"/>
      <c r="B874" s="206"/>
      <c r="C874" s="205"/>
      <c r="D874" s="206"/>
      <c r="E874" s="207"/>
      <c r="G874" s="234"/>
      <c r="H874" s="206"/>
      <c r="J874" s="224"/>
      <c r="K874" s="230"/>
      <c r="L874" s="231"/>
    </row>
    <row r="875">
      <c r="A875" s="233"/>
      <c r="B875" s="206"/>
      <c r="C875" s="205"/>
      <c r="D875" s="206"/>
      <c r="E875" s="207"/>
      <c r="G875" s="234"/>
      <c r="H875" s="206"/>
      <c r="J875" s="224"/>
      <c r="K875" s="230"/>
      <c r="L875" s="231"/>
    </row>
    <row r="876">
      <c r="A876" s="233"/>
      <c r="B876" s="206"/>
      <c r="C876" s="205"/>
      <c r="D876" s="206"/>
      <c r="E876" s="207"/>
      <c r="G876" s="234"/>
      <c r="H876" s="206"/>
      <c r="J876" s="224"/>
      <c r="K876" s="230"/>
      <c r="L876" s="231"/>
    </row>
    <row r="877">
      <c r="A877" s="233"/>
      <c r="B877" s="206"/>
      <c r="C877" s="205"/>
      <c r="D877" s="206"/>
      <c r="E877" s="207"/>
      <c r="G877" s="234"/>
      <c r="H877" s="206"/>
      <c r="J877" s="224"/>
      <c r="K877" s="230"/>
      <c r="L877" s="231"/>
    </row>
    <row r="878">
      <c r="A878" s="233"/>
      <c r="B878" s="206"/>
      <c r="C878" s="205"/>
      <c r="D878" s="206"/>
      <c r="E878" s="207"/>
      <c r="G878" s="234"/>
      <c r="H878" s="206"/>
      <c r="J878" s="224"/>
      <c r="K878" s="230"/>
      <c r="L878" s="231"/>
    </row>
    <row r="879">
      <c r="A879" s="233"/>
      <c r="B879" s="206"/>
      <c r="C879" s="205"/>
      <c r="D879" s="206"/>
      <c r="E879" s="207"/>
      <c r="G879" s="234"/>
      <c r="H879" s="206"/>
      <c r="J879" s="224"/>
      <c r="K879" s="230"/>
      <c r="L879" s="231"/>
    </row>
    <row r="880">
      <c r="A880" s="233"/>
      <c r="B880" s="206"/>
      <c r="C880" s="205"/>
      <c r="D880" s="206"/>
      <c r="E880" s="207"/>
      <c r="G880" s="234"/>
      <c r="H880" s="206"/>
      <c r="J880" s="224"/>
      <c r="K880" s="230"/>
      <c r="L880" s="231"/>
    </row>
    <row r="881">
      <c r="A881" s="233"/>
      <c r="B881" s="206"/>
      <c r="C881" s="205"/>
      <c r="D881" s="206"/>
      <c r="E881" s="207"/>
      <c r="G881" s="234"/>
      <c r="H881" s="206"/>
      <c r="J881" s="224"/>
      <c r="K881" s="230"/>
      <c r="L881" s="231"/>
    </row>
    <row r="882">
      <c r="A882" s="233"/>
      <c r="B882" s="206"/>
      <c r="C882" s="205"/>
      <c r="D882" s="206"/>
      <c r="E882" s="207"/>
      <c r="G882" s="234"/>
      <c r="H882" s="206"/>
      <c r="J882" s="224"/>
      <c r="K882" s="230"/>
      <c r="L882" s="231"/>
    </row>
    <row r="883">
      <c r="A883" s="233"/>
      <c r="B883" s="206"/>
      <c r="C883" s="205"/>
      <c r="D883" s="206"/>
      <c r="E883" s="207"/>
      <c r="G883" s="234"/>
      <c r="H883" s="206"/>
      <c r="J883" s="224"/>
      <c r="K883" s="230"/>
      <c r="L883" s="231"/>
    </row>
    <row r="884">
      <c r="A884" s="233"/>
      <c r="B884" s="206"/>
      <c r="C884" s="205"/>
      <c r="D884" s="206"/>
      <c r="E884" s="207"/>
      <c r="G884" s="234"/>
      <c r="H884" s="206"/>
      <c r="J884" s="224"/>
      <c r="K884" s="230"/>
      <c r="L884" s="231"/>
    </row>
    <row r="885">
      <c r="A885" s="233"/>
      <c r="B885" s="206"/>
      <c r="C885" s="205"/>
      <c r="D885" s="206"/>
      <c r="E885" s="207"/>
      <c r="G885" s="234"/>
      <c r="H885" s="206"/>
      <c r="J885" s="224"/>
      <c r="K885" s="230"/>
      <c r="L885" s="231"/>
    </row>
    <row r="886">
      <c r="A886" s="233"/>
      <c r="B886" s="206"/>
      <c r="C886" s="205"/>
      <c r="D886" s="206"/>
      <c r="E886" s="207"/>
      <c r="G886" s="234"/>
      <c r="H886" s="206"/>
      <c r="J886" s="224"/>
      <c r="K886" s="230"/>
      <c r="L886" s="231"/>
    </row>
    <row r="887">
      <c r="A887" s="233"/>
      <c r="B887" s="206"/>
      <c r="C887" s="205"/>
      <c r="D887" s="206"/>
      <c r="E887" s="207"/>
      <c r="G887" s="234"/>
      <c r="H887" s="206"/>
      <c r="J887" s="224"/>
      <c r="K887" s="230"/>
      <c r="L887" s="231"/>
    </row>
    <row r="888">
      <c r="A888" s="233"/>
      <c r="B888" s="206"/>
      <c r="C888" s="205"/>
      <c r="D888" s="206"/>
      <c r="E888" s="207"/>
      <c r="G888" s="234"/>
      <c r="H888" s="206"/>
      <c r="J888" s="224"/>
      <c r="K888" s="230"/>
      <c r="L888" s="231"/>
    </row>
    <row r="889">
      <c r="A889" s="233"/>
      <c r="B889" s="206"/>
      <c r="C889" s="205"/>
      <c r="D889" s="206"/>
      <c r="E889" s="207"/>
      <c r="G889" s="234"/>
      <c r="H889" s="206"/>
      <c r="J889" s="224"/>
      <c r="K889" s="230"/>
      <c r="L889" s="231"/>
    </row>
    <row r="890">
      <c r="A890" s="233"/>
      <c r="B890" s="206"/>
      <c r="C890" s="205"/>
      <c r="D890" s="206"/>
      <c r="E890" s="207"/>
      <c r="G890" s="234"/>
      <c r="H890" s="206"/>
      <c r="J890" s="224"/>
      <c r="K890" s="230"/>
      <c r="L890" s="231"/>
    </row>
    <row r="891">
      <c r="A891" s="233"/>
      <c r="B891" s="206"/>
      <c r="C891" s="205"/>
      <c r="D891" s="206"/>
      <c r="E891" s="207"/>
      <c r="G891" s="234"/>
      <c r="H891" s="206"/>
      <c r="J891" s="224"/>
      <c r="K891" s="230"/>
      <c r="L891" s="231"/>
    </row>
    <row r="892">
      <c r="A892" s="233"/>
      <c r="B892" s="206"/>
      <c r="C892" s="205"/>
      <c r="D892" s="206"/>
      <c r="E892" s="207"/>
      <c r="G892" s="234"/>
      <c r="H892" s="206"/>
      <c r="J892" s="224"/>
      <c r="K892" s="230"/>
      <c r="L892" s="231"/>
    </row>
    <row r="893">
      <c r="A893" s="233"/>
      <c r="B893" s="206"/>
      <c r="C893" s="205"/>
      <c r="D893" s="206"/>
      <c r="E893" s="207"/>
      <c r="G893" s="234"/>
      <c r="H893" s="206"/>
      <c r="J893" s="224"/>
      <c r="K893" s="230"/>
      <c r="L893" s="231"/>
    </row>
    <row r="894">
      <c r="A894" s="233"/>
      <c r="B894" s="206"/>
      <c r="C894" s="205"/>
      <c r="D894" s="206"/>
      <c r="E894" s="207"/>
      <c r="G894" s="234"/>
      <c r="H894" s="206"/>
      <c r="J894" s="224"/>
      <c r="K894" s="230"/>
      <c r="L894" s="231"/>
    </row>
    <row r="895">
      <c r="A895" s="233"/>
      <c r="B895" s="206"/>
      <c r="C895" s="205"/>
      <c r="D895" s="206"/>
      <c r="E895" s="207"/>
      <c r="G895" s="234"/>
      <c r="H895" s="206"/>
      <c r="J895" s="224"/>
      <c r="K895" s="230"/>
      <c r="L895" s="231"/>
    </row>
    <row r="896">
      <c r="A896" s="233"/>
      <c r="B896" s="206"/>
      <c r="C896" s="205"/>
      <c r="D896" s="206"/>
      <c r="E896" s="207"/>
      <c r="G896" s="234"/>
      <c r="H896" s="206"/>
      <c r="J896" s="224"/>
      <c r="K896" s="230"/>
      <c r="L896" s="231"/>
    </row>
    <row r="897">
      <c r="A897" s="233"/>
      <c r="B897" s="206"/>
      <c r="C897" s="205"/>
      <c r="D897" s="206"/>
      <c r="E897" s="207"/>
      <c r="G897" s="234"/>
      <c r="H897" s="206"/>
      <c r="J897" s="224"/>
      <c r="K897" s="230"/>
      <c r="L897" s="231"/>
    </row>
    <row r="898">
      <c r="A898" s="233"/>
      <c r="B898" s="206"/>
      <c r="C898" s="205"/>
      <c r="D898" s="206"/>
      <c r="E898" s="207"/>
      <c r="G898" s="234"/>
      <c r="H898" s="206"/>
      <c r="J898" s="224"/>
      <c r="K898" s="230"/>
      <c r="L898" s="231"/>
    </row>
    <row r="899">
      <c r="A899" s="233"/>
      <c r="B899" s="206"/>
      <c r="C899" s="205"/>
      <c r="D899" s="206"/>
      <c r="E899" s="207"/>
      <c r="G899" s="234"/>
      <c r="H899" s="206"/>
      <c r="J899" s="224"/>
      <c r="K899" s="230"/>
      <c r="L899" s="231"/>
    </row>
    <row r="900">
      <c r="A900" s="233"/>
      <c r="B900" s="206"/>
      <c r="C900" s="205"/>
      <c r="D900" s="206"/>
      <c r="E900" s="207"/>
      <c r="G900" s="234"/>
      <c r="H900" s="206"/>
      <c r="J900" s="224"/>
      <c r="K900" s="230"/>
      <c r="L900" s="231"/>
    </row>
    <row r="901">
      <c r="A901" s="233"/>
      <c r="B901" s="206"/>
      <c r="C901" s="205"/>
      <c r="D901" s="206"/>
      <c r="E901" s="207"/>
      <c r="G901" s="234"/>
      <c r="H901" s="206"/>
      <c r="J901" s="224"/>
      <c r="K901" s="230"/>
      <c r="L901" s="231"/>
    </row>
    <row r="902">
      <c r="A902" s="233"/>
      <c r="B902" s="206"/>
      <c r="C902" s="205"/>
      <c r="D902" s="206"/>
      <c r="E902" s="207"/>
      <c r="G902" s="234"/>
      <c r="H902" s="206"/>
      <c r="J902" s="224"/>
      <c r="K902" s="230"/>
      <c r="L902" s="231"/>
    </row>
    <row r="903">
      <c r="A903" s="233"/>
      <c r="B903" s="206"/>
      <c r="C903" s="205"/>
      <c r="D903" s="206"/>
      <c r="E903" s="207"/>
      <c r="G903" s="234"/>
      <c r="H903" s="206"/>
      <c r="J903" s="224"/>
      <c r="K903" s="230"/>
      <c r="L903" s="231"/>
    </row>
    <row r="904">
      <c r="A904" s="233"/>
      <c r="B904" s="206"/>
      <c r="C904" s="205"/>
      <c r="D904" s="206"/>
      <c r="E904" s="207"/>
      <c r="G904" s="234"/>
      <c r="H904" s="206"/>
      <c r="J904" s="224"/>
      <c r="K904" s="230"/>
      <c r="L904" s="231"/>
    </row>
    <row r="905">
      <c r="A905" s="233"/>
      <c r="B905" s="206"/>
      <c r="C905" s="205"/>
      <c r="D905" s="206"/>
      <c r="E905" s="207"/>
      <c r="G905" s="234"/>
      <c r="H905" s="206"/>
      <c r="J905" s="224"/>
      <c r="K905" s="230"/>
      <c r="L905" s="231"/>
    </row>
    <row r="906">
      <c r="A906" s="233"/>
      <c r="B906" s="206"/>
      <c r="C906" s="205"/>
      <c r="D906" s="206"/>
      <c r="E906" s="207"/>
      <c r="G906" s="234"/>
      <c r="H906" s="206"/>
      <c r="J906" s="224"/>
      <c r="K906" s="230"/>
      <c r="L906" s="231"/>
    </row>
    <row r="907">
      <c r="A907" s="233"/>
      <c r="B907" s="206"/>
      <c r="C907" s="205"/>
      <c r="D907" s="206"/>
      <c r="E907" s="207"/>
      <c r="G907" s="234"/>
      <c r="H907" s="206"/>
      <c r="J907" s="224"/>
      <c r="K907" s="230"/>
      <c r="L907" s="231"/>
    </row>
    <row r="908">
      <c r="A908" s="233"/>
      <c r="B908" s="206"/>
      <c r="C908" s="205"/>
      <c r="D908" s="206"/>
      <c r="E908" s="207"/>
      <c r="G908" s="234"/>
      <c r="H908" s="206"/>
      <c r="J908" s="224"/>
      <c r="K908" s="230"/>
      <c r="L908" s="231"/>
    </row>
    <row r="909">
      <c r="A909" s="233"/>
      <c r="B909" s="206"/>
      <c r="C909" s="205"/>
      <c r="D909" s="206"/>
      <c r="E909" s="207"/>
      <c r="G909" s="234"/>
      <c r="H909" s="206"/>
      <c r="J909" s="224"/>
      <c r="K909" s="230"/>
      <c r="L909" s="231"/>
    </row>
    <row r="910">
      <c r="A910" s="233"/>
      <c r="B910" s="206"/>
      <c r="C910" s="205"/>
      <c r="D910" s="206"/>
      <c r="E910" s="207"/>
      <c r="G910" s="234"/>
      <c r="H910" s="206"/>
      <c r="J910" s="224"/>
      <c r="K910" s="230"/>
      <c r="L910" s="231"/>
    </row>
    <row r="911">
      <c r="A911" s="233"/>
      <c r="B911" s="206"/>
      <c r="C911" s="205"/>
      <c r="D911" s="206"/>
      <c r="E911" s="207"/>
      <c r="G911" s="234"/>
      <c r="H911" s="206"/>
      <c r="J911" s="224"/>
      <c r="K911" s="230"/>
      <c r="L911" s="231"/>
    </row>
    <row r="912">
      <c r="A912" s="233"/>
      <c r="B912" s="206"/>
      <c r="C912" s="205"/>
      <c r="D912" s="206"/>
      <c r="E912" s="207"/>
      <c r="G912" s="234"/>
      <c r="H912" s="206"/>
      <c r="J912" s="224"/>
      <c r="K912" s="230"/>
      <c r="L912" s="231"/>
    </row>
    <row r="913">
      <c r="A913" s="233"/>
      <c r="B913" s="206"/>
      <c r="C913" s="205"/>
      <c r="D913" s="206"/>
      <c r="E913" s="207"/>
      <c r="G913" s="234"/>
      <c r="H913" s="206"/>
      <c r="J913" s="224"/>
      <c r="K913" s="230"/>
      <c r="L913" s="231"/>
    </row>
    <row r="914">
      <c r="A914" s="233"/>
      <c r="B914" s="206"/>
      <c r="C914" s="205"/>
      <c r="D914" s="206"/>
      <c r="E914" s="207"/>
      <c r="G914" s="234"/>
      <c r="H914" s="206"/>
      <c r="J914" s="224"/>
      <c r="K914" s="230"/>
      <c r="L914" s="231"/>
    </row>
    <row r="915">
      <c r="A915" s="233"/>
      <c r="B915" s="206"/>
      <c r="C915" s="205"/>
      <c r="D915" s="206"/>
      <c r="E915" s="207"/>
      <c r="G915" s="234"/>
      <c r="H915" s="206"/>
      <c r="J915" s="224"/>
      <c r="K915" s="230"/>
      <c r="L915" s="231"/>
    </row>
    <row r="916">
      <c r="A916" s="233"/>
      <c r="B916" s="206"/>
      <c r="C916" s="205"/>
      <c r="D916" s="206"/>
      <c r="E916" s="207"/>
      <c r="G916" s="234"/>
      <c r="H916" s="206"/>
      <c r="J916" s="224"/>
      <c r="K916" s="230"/>
      <c r="L916" s="231"/>
    </row>
    <row r="917">
      <c r="A917" s="233"/>
      <c r="B917" s="206"/>
      <c r="C917" s="205"/>
      <c r="D917" s="206"/>
      <c r="E917" s="207"/>
      <c r="G917" s="234"/>
      <c r="H917" s="206"/>
      <c r="J917" s="224"/>
      <c r="K917" s="230"/>
      <c r="L917" s="231"/>
    </row>
    <row r="918">
      <c r="A918" s="233"/>
      <c r="B918" s="206"/>
      <c r="C918" s="205"/>
      <c r="D918" s="206"/>
      <c r="E918" s="207"/>
      <c r="G918" s="234"/>
      <c r="H918" s="206"/>
      <c r="J918" s="224"/>
      <c r="K918" s="230"/>
      <c r="L918" s="231"/>
    </row>
    <row r="919">
      <c r="A919" s="233"/>
      <c r="B919" s="206"/>
      <c r="C919" s="205"/>
      <c r="D919" s="206"/>
      <c r="E919" s="207"/>
      <c r="G919" s="234"/>
      <c r="H919" s="206"/>
      <c r="J919" s="224"/>
      <c r="K919" s="230"/>
      <c r="L919" s="231"/>
    </row>
    <row r="920">
      <c r="A920" s="233"/>
      <c r="B920" s="206"/>
      <c r="C920" s="205"/>
      <c r="D920" s="206"/>
      <c r="E920" s="207"/>
      <c r="G920" s="234"/>
      <c r="H920" s="206"/>
      <c r="J920" s="224"/>
      <c r="K920" s="230"/>
      <c r="L920" s="231"/>
    </row>
    <row r="921">
      <c r="A921" s="233"/>
      <c r="B921" s="206"/>
      <c r="C921" s="205"/>
      <c r="D921" s="206"/>
      <c r="E921" s="207"/>
      <c r="G921" s="234"/>
      <c r="H921" s="206"/>
      <c r="J921" s="224"/>
      <c r="K921" s="230"/>
      <c r="L921" s="231"/>
    </row>
    <row r="922">
      <c r="A922" s="233"/>
      <c r="B922" s="206"/>
      <c r="C922" s="205"/>
      <c r="D922" s="206"/>
      <c r="E922" s="207"/>
      <c r="G922" s="234"/>
      <c r="H922" s="206"/>
      <c r="J922" s="224"/>
      <c r="K922" s="230"/>
      <c r="L922" s="231"/>
    </row>
    <row r="923">
      <c r="A923" s="233"/>
      <c r="B923" s="206"/>
      <c r="C923" s="205"/>
      <c r="D923" s="206"/>
      <c r="E923" s="207"/>
      <c r="G923" s="234"/>
      <c r="H923" s="206"/>
      <c r="J923" s="224"/>
      <c r="K923" s="230"/>
      <c r="L923" s="231"/>
    </row>
    <row r="924">
      <c r="A924" s="233"/>
      <c r="B924" s="206"/>
      <c r="C924" s="205"/>
      <c r="D924" s="206"/>
      <c r="E924" s="207"/>
      <c r="G924" s="234"/>
      <c r="H924" s="206"/>
      <c r="J924" s="224"/>
      <c r="K924" s="230"/>
      <c r="L924" s="231"/>
    </row>
    <row r="925">
      <c r="A925" s="233"/>
      <c r="B925" s="206"/>
      <c r="C925" s="205"/>
      <c r="D925" s="206"/>
      <c r="E925" s="207"/>
      <c r="G925" s="234"/>
      <c r="H925" s="206"/>
      <c r="J925" s="224"/>
      <c r="K925" s="230"/>
      <c r="L925" s="231"/>
    </row>
    <row r="926">
      <c r="A926" s="233"/>
      <c r="B926" s="206"/>
      <c r="C926" s="205"/>
      <c r="D926" s="206"/>
      <c r="E926" s="207"/>
      <c r="G926" s="234"/>
      <c r="H926" s="206"/>
      <c r="J926" s="224"/>
      <c r="K926" s="230"/>
      <c r="L926" s="231"/>
    </row>
    <row r="927">
      <c r="A927" s="233"/>
      <c r="B927" s="206"/>
      <c r="C927" s="205"/>
      <c r="D927" s="206"/>
      <c r="E927" s="207"/>
      <c r="G927" s="234"/>
      <c r="H927" s="206"/>
      <c r="J927" s="224"/>
      <c r="K927" s="230"/>
      <c r="L927" s="231"/>
    </row>
    <row r="928">
      <c r="A928" s="233"/>
      <c r="B928" s="206"/>
      <c r="C928" s="205"/>
      <c r="D928" s="206"/>
      <c r="E928" s="207"/>
      <c r="G928" s="234"/>
      <c r="H928" s="206"/>
      <c r="J928" s="224"/>
      <c r="K928" s="230"/>
      <c r="L928" s="231"/>
    </row>
    <row r="929">
      <c r="A929" s="233"/>
      <c r="B929" s="206"/>
      <c r="C929" s="205"/>
      <c r="D929" s="206"/>
      <c r="E929" s="207"/>
      <c r="G929" s="234"/>
      <c r="H929" s="206"/>
      <c r="J929" s="224"/>
      <c r="K929" s="230"/>
      <c r="L929" s="231"/>
    </row>
    <row r="930">
      <c r="A930" s="233"/>
      <c r="B930" s="206"/>
      <c r="C930" s="205"/>
      <c r="D930" s="206"/>
      <c r="E930" s="207"/>
      <c r="G930" s="234"/>
      <c r="H930" s="206"/>
      <c r="J930" s="224"/>
      <c r="K930" s="230"/>
      <c r="L930" s="231"/>
    </row>
    <row r="931">
      <c r="A931" s="233"/>
      <c r="B931" s="206"/>
      <c r="C931" s="205"/>
      <c r="D931" s="206"/>
      <c r="E931" s="207"/>
      <c r="G931" s="234"/>
      <c r="H931" s="206"/>
      <c r="J931" s="224"/>
      <c r="K931" s="230"/>
      <c r="L931" s="231"/>
    </row>
    <row r="932">
      <c r="A932" s="233"/>
      <c r="B932" s="206"/>
      <c r="C932" s="205"/>
      <c r="D932" s="206"/>
      <c r="E932" s="207"/>
      <c r="G932" s="234"/>
      <c r="H932" s="206"/>
      <c r="J932" s="224"/>
      <c r="K932" s="230"/>
      <c r="L932" s="231"/>
    </row>
    <row r="933">
      <c r="A933" s="233"/>
      <c r="B933" s="206"/>
      <c r="C933" s="205"/>
      <c r="D933" s="206"/>
      <c r="E933" s="207"/>
      <c r="G933" s="234"/>
      <c r="H933" s="206"/>
      <c r="J933" s="224"/>
      <c r="K933" s="230"/>
      <c r="L933" s="231"/>
    </row>
    <row r="934">
      <c r="A934" s="233"/>
      <c r="B934" s="206"/>
      <c r="C934" s="205"/>
      <c r="D934" s="206"/>
      <c r="E934" s="207"/>
      <c r="G934" s="234"/>
      <c r="H934" s="206"/>
      <c r="J934" s="224"/>
      <c r="K934" s="230"/>
      <c r="L934" s="231"/>
    </row>
    <row r="935">
      <c r="A935" s="233"/>
      <c r="B935" s="206"/>
      <c r="C935" s="205"/>
      <c r="D935" s="206"/>
      <c r="E935" s="207"/>
      <c r="G935" s="234"/>
      <c r="H935" s="206"/>
      <c r="J935" s="224"/>
      <c r="K935" s="230"/>
      <c r="L935" s="231"/>
    </row>
    <row r="936">
      <c r="A936" s="233"/>
      <c r="B936" s="206"/>
      <c r="C936" s="205"/>
      <c r="D936" s="206"/>
      <c r="E936" s="207"/>
      <c r="G936" s="234"/>
      <c r="H936" s="206"/>
      <c r="J936" s="224"/>
      <c r="K936" s="230"/>
      <c r="L936" s="231"/>
    </row>
    <row r="937">
      <c r="A937" s="233"/>
      <c r="B937" s="206"/>
      <c r="C937" s="205"/>
      <c r="D937" s="206"/>
      <c r="E937" s="207"/>
      <c r="G937" s="234"/>
      <c r="H937" s="206"/>
      <c r="J937" s="224"/>
      <c r="K937" s="230"/>
      <c r="L937" s="231"/>
    </row>
    <row r="938">
      <c r="A938" s="233"/>
      <c r="B938" s="206"/>
      <c r="C938" s="205"/>
      <c r="D938" s="206"/>
      <c r="E938" s="207"/>
      <c r="G938" s="234"/>
      <c r="H938" s="206"/>
      <c r="J938" s="224"/>
      <c r="K938" s="230"/>
      <c r="L938" s="231"/>
    </row>
    <row r="939">
      <c r="A939" s="233"/>
      <c r="B939" s="206"/>
      <c r="C939" s="205"/>
      <c r="D939" s="206"/>
      <c r="E939" s="207"/>
      <c r="G939" s="234"/>
      <c r="H939" s="206"/>
      <c r="J939" s="224"/>
      <c r="K939" s="230"/>
      <c r="L939" s="231"/>
    </row>
    <row r="940">
      <c r="A940" s="233"/>
      <c r="B940" s="206"/>
      <c r="C940" s="205"/>
      <c r="D940" s="206"/>
      <c r="E940" s="207"/>
      <c r="G940" s="234"/>
      <c r="H940" s="206"/>
      <c r="J940" s="224"/>
      <c r="K940" s="230"/>
      <c r="L940" s="231"/>
    </row>
    <row r="941">
      <c r="A941" s="233"/>
      <c r="B941" s="206"/>
      <c r="C941" s="205"/>
      <c r="D941" s="206"/>
      <c r="E941" s="207"/>
      <c r="G941" s="234"/>
      <c r="H941" s="206"/>
      <c r="J941" s="224"/>
      <c r="K941" s="230"/>
      <c r="L941" s="231"/>
    </row>
    <row r="942">
      <c r="A942" s="233"/>
      <c r="B942" s="206"/>
      <c r="C942" s="205"/>
      <c r="D942" s="206"/>
      <c r="E942" s="207"/>
      <c r="G942" s="234"/>
      <c r="H942" s="206"/>
      <c r="J942" s="224"/>
      <c r="K942" s="230"/>
      <c r="L942" s="231"/>
    </row>
    <row r="943">
      <c r="A943" s="233"/>
      <c r="B943" s="206"/>
      <c r="C943" s="205"/>
      <c r="D943" s="206"/>
      <c r="E943" s="207"/>
      <c r="G943" s="234"/>
      <c r="H943" s="206"/>
      <c r="J943" s="224"/>
      <c r="K943" s="230"/>
      <c r="L943" s="231"/>
    </row>
    <row r="944">
      <c r="A944" s="233"/>
      <c r="B944" s="206"/>
      <c r="C944" s="205"/>
      <c r="D944" s="206"/>
      <c r="E944" s="207"/>
      <c r="G944" s="234"/>
      <c r="H944" s="206"/>
      <c r="J944" s="224"/>
      <c r="K944" s="230"/>
      <c r="L944" s="231"/>
    </row>
    <row r="945">
      <c r="A945" s="233"/>
      <c r="B945" s="206"/>
      <c r="C945" s="205"/>
      <c r="D945" s="206"/>
      <c r="E945" s="207"/>
      <c r="G945" s="234"/>
      <c r="H945" s="206"/>
      <c r="J945" s="224"/>
      <c r="K945" s="230"/>
      <c r="L945" s="231"/>
    </row>
    <row r="946">
      <c r="A946" s="233"/>
      <c r="B946" s="206"/>
      <c r="C946" s="205"/>
      <c r="D946" s="206"/>
      <c r="E946" s="207"/>
      <c r="G946" s="234"/>
      <c r="H946" s="206"/>
      <c r="J946" s="224"/>
      <c r="K946" s="230"/>
      <c r="L946" s="231"/>
    </row>
    <row r="947">
      <c r="A947" s="233"/>
      <c r="B947" s="206"/>
      <c r="C947" s="205"/>
      <c r="D947" s="206"/>
      <c r="E947" s="207"/>
      <c r="G947" s="234"/>
      <c r="H947" s="206"/>
      <c r="J947" s="224"/>
      <c r="K947" s="230"/>
      <c r="L947" s="231"/>
    </row>
    <row r="948">
      <c r="A948" s="233"/>
      <c r="B948" s="206"/>
      <c r="C948" s="205"/>
      <c r="D948" s="206"/>
      <c r="E948" s="207"/>
      <c r="G948" s="234"/>
      <c r="H948" s="206"/>
      <c r="J948" s="224"/>
      <c r="K948" s="230"/>
      <c r="L948" s="231"/>
    </row>
    <row r="949">
      <c r="A949" s="233"/>
      <c r="B949" s="206"/>
      <c r="C949" s="205"/>
      <c r="D949" s="206"/>
      <c r="E949" s="207"/>
      <c r="G949" s="234"/>
      <c r="H949" s="206"/>
      <c r="J949" s="224"/>
      <c r="K949" s="230"/>
      <c r="L949" s="231"/>
    </row>
    <row r="950">
      <c r="A950" s="233"/>
      <c r="B950" s="206"/>
      <c r="C950" s="205"/>
      <c r="D950" s="206"/>
      <c r="E950" s="207"/>
      <c r="G950" s="234"/>
      <c r="H950" s="206"/>
      <c r="J950" s="224"/>
      <c r="K950" s="230"/>
      <c r="L950" s="231"/>
    </row>
    <row r="951">
      <c r="A951" s="233"/>
      <c r="B951" s="206"/>
      <c r="C951" s="205"/>
      <c r="D951" s="206"/>
      <c r="E951" s="207"/>
      <c r="G951" s="234"/>
      <c r="H951" s="206"/>
      <c r="J951" s="224"/>
      <c r="K951" s="230"/>
      <c r="L951" s="231"/>
    </row>
    <row r="952">
      <c r="A952" s="233"/>
      <c r="B952" s="206"/>
      <c r="C952" s="205"/>
      <c r="D952" s="206"/>
      <c r="E952" s="207"/>
      <c r="G952" s="234"/>
      <c r="H952" s="206"/>
      <c r="J952" s="224"/>
      <c r="K952" s="230"/>
      <c r="L952" s="231"/>
    </row>
    <row r="953">
      <c r="A953" s="233"/>
      <c r="B953" s="206"/>
      <c r="C953" s="205"/>
      <c r="D953" s="206"/>
      <c r="E953" s="207"/>
      <c r="G953" s="234"/>
      <c r="H953" s="206"/>
      <c r="J953" s="224"/>
      <c r="K953" s="230"/>
      <c r="L953" s="231"/>
    </row>
    <row r="954">
      <c r="A954" s="233"/>
      <c r="B954" s="206"/>
      <c r="C954" s="205"/>
      <c r="D954" s="206"/>
      <c r="E954" s="207"/>
      <c r="G954" s="234"/>
      <c r="H954" s="206"/>
      <c r="J954" s="224"/>
      <c r="K954" s="230"/>
      <c r="L954" s="231"/>
    </row>
    <row r="955">
      <c r="A955" s="233"/>
      <c r="B955" s="206"/>
      <c r="C955" s="205"/>
      <c r="D955" s="206"/>
      <c r="E955" s="207"/>
      <c r="G955" s="234"/>
      <c r="H955" s="206"/>
      <c r="J955" s="224"/>
      <c r="K955" s="230"/>
      <c r="L955" s="231"/>
    </row>
    <row r="956">
      <c r="A956" s="233"/>
      <c r="B956" s="206"/>
      <c r="C956" s="205"/>
      <c r="D956" s="206"/>
      <c r="E956" s="207"/>
      <c r="G956" s="234"/>
      <c r="H956" s="206"/>
      <c r="J956" s="224"/>
      <c r="K956" s="230"/>
      <c r="L956" s="231"/>
    </row>
    <row r="957">
      <c r="A957" s="233"/>
      <c r="B957" s="206"/>
      <c r="C957" s="205"/>
      <c r="D957" s="206"/>
      <c r="E957" s="207"/>
      <c r="G957" s="234"/>
      <c r="H957" s="206"/>
      <c r="J957" s="224"/>
      <c r="K957" s="230"/>
      <c r="L957" s="231"/>
    </row>
    <row r="958">
      <c r="A958" s="233"/>
      <c r="B958" s="206"/>
      <c r="C958" s="205"/>
      <c r="D958" s="206"/>
      <c r="E958" s="207"/>
      <c r="G958" s="234"/>
      <c r="H958" s="206"/>
      <c r="J958" s="224"/>
      <c r="K958" s="230"/>
      <c r="L958" s="231"/>
    </row>
    <row r="959">
      <c r="A959" s="233"/>
      <c r="B959" s="206"/>
      <c r="C959" s="205"/>
      <c r="D959" s="206"/>
      <c r="E959" s="207"/>
      <c r="G959" s="234"/>
      <c r="H959" s="206"/>
      <c r="J959" s="224"/>
      <c r="K959" s="230"/>
      <c r="L959" s="231"/>
    </row>
    <row r="960">
      <c r="A960" s="233"/>
      <c r="B960" s="206"/>
      <c r="C960" s="205"/>
      <c r="D960" s="206"/>
      <c r="E960" s="207"/>
      <c r="G960" s="234"/>
      <c r="H960" s="206"/>
      <c r="J960" s="224"/>
      <c r="K960" s="230"/>
      <c r="L960" s="231"/>
    </row>
    <row r="961">
      <c r="A961" s="233"/>
      <c r="B961" s="206"/>
      <c r="C961" s="205"/>
      <c r="D961" s="206"/>
      <c r="E961" s="207"/>
      <c r="G961" s="234"/>
      <c r="H961" s="206"/>
      <c r="J961" s="224"/>
      <c r="K961" s="230"/>
      <c r="L961" s="231"/>
    </row>
    <row r="962">
      <c r="A962" s="233"/>
      <c r="B962" s="206"/>
      <c r="C962" s="205"/>
      <c r="D962" s="206"/>
      <c r="E962" s="207"/>
      <c r="G962" s="234"/>
      <c r="H962" s="206"/>
      <c r="J962" s="224"/>
      <c r="K962" s="230"/>
      <c r="L962" s="231"/>
    </row>
    <row r="963">
      <c r="A963" s="233"/>
      <c r="B963" s="206"/>
      <c r="C963" s="205"/>
      <c r="D963" s="206"/>
      <c r="E963" s="207"/>
      <c r="G963" s="234"/>
      <c r="H963" s="206"/>
      <c r="J963" s="224"/>
      <c r="K963" s="230"/>
      <c r="L963" s="231"/>
    </row>
    <row r="964">
      <c r="A964" s="233"/>
      <c r="B964" s="206"/>
      <c r="C964" s="205"/>
      <c r="D964" s="206"/>
      <c r="E964" s="207"/>
      <c r="G964" s="234"/>
      <c r="H964" s="206"/>
      <c r="J964" s="224"/>
      <c r="K964" s="230"/>
      <c r="L964" s="231"/>
    </row>
    <row r="965">
      <c r="A965" s="233"/>
      <c r="B965" s="206"/>
      <c r="C965" s="205"/>
      <c r="D965" s="206"/>
      <c r="E965" s="207"/>
      <c r="G965" s="234"/>
      <c r="H965" s="206"/>
      <c r="J965" s="224"/>
      <c r="K965" s="230"/>
      <c r="L965" s="231"/>
    </row>
    <row r="966">
      <c r="A966" s="233"/>
      <c r="B966" s="206"/>
      <c r="C966" s="205"/>
      <c r="D966" s="206"/>
      <c r="E966" s="207"/>
      <c r="G966" s="234"/>
      <c r="H966" s="206"/>
      <c r="J966" s="224"/>
      <c r="K966" s="230"/>
      <c r="L966" s="231"/>
    </row>
    <row r="967">
      <c r="A967" s="233"/>
      <c r="B967" s="206"/>
      <c r="C967" s="205"/>
      <c r="D967" s="206"/>
      <c r="E967" s="207"/>
      <c r="G967" s="234"/>
      <c r="H967" s="206"/>
      <c r="J967" s="224"/>
      <c r="K967" s="230"/>
      <c r="L967" s="231"/>
    </row>
    <row r="968">
      <c r="A968" s="233"/>
      <c r="B968" s="206"/>
      <c r="C968" s="205"/>
      <c r="D968" s="206"/>
      <c r="E968" s="207"/>
      <c r="G968" s="234"/>
      <c r="H968" s="206"/>
      <c r="J968" s="224"/>
      <c r="K968" s="230"/>
      <c r="L968" s="231"/>
    </row>
    <row r="969">
      <c r="A969" s="233"/>
      <c r="B969" s="206"/>
      <c r="C969" s="205"/>
      <c r="D969" s="206"/>
      <c r="E969" s="207"/>
      <c r="G969" s="234"/>
      <c r="H969" s="206"/>
      <c r="J969" s="224"/>
      <c r="K969" s="230"/>
      <c r="L969" s="231"/>
    </row>
    <row r="970">
      <c r="A970" s="233"/>
      <c r="B970" s="206"/>
      <c r="C970" s="205"/>
      <c r="D970" s="206"/>
      <c r="E970" s="207"/>
      <c r="G970" s="234"/>
      <c r="H970" s="206"/>
      <c r="J970" s="224"/>
      <c r="K970" s="230"/>
      <c r="L970" s="231"/>
    </row>
    <row r="971">
      <c r="A971" s="233"/>
      <c r="B971" s="206"/>
      <c r="C971" s="205"/>
      <c r="D971" s="206"/>
      <c r="E971" s="207"/>
      <c r="G971" s="234"/>
      <c r="H971" s="206"/>
      <c r="J971" s="224"/>
      <c r="K971" s="230"/>
      <c r="L971" s="231"/>
    </row>
    <row r="972">
      <c r="A972" s="233"/>
      <c r="B972" s="206"/>
      <c r="C972" s="205"/>
      <c r="D972" s="206"/>
      <c r="E972" s="207"/>
      <c r="G972" s="234"/>
      <c r="H972" s="206"/>
      <c r="J972" s="224"/>
      <c r="K972" s="230"/>
      <c r="L972" s="231"/>
    </row>
    <row r="973">
      <c r="A973" s="233"/>
      <c r="B973" s="206"/>
      <c r="C973" s="205"/>
      <c r="D973" s="206"/>
      <c r="E973" s="207"/>
      <c r="G973" s="234"/>
      <c r="H973" s="206"/>
      <c r="J973" s="224"/>
      <c r="K973" s="230"/>
      <c r="L973" s="231"/>
    </row>
    <row r="974">
      <c r="A974" s="233"/>
      <c r="B974" s="206"/>
      <c r="C974" s="205"/>
      <c r="D974" s="206"/>
      <c r="E974" s="207"/>
      <c r="G974" s="234"/>
      <c r="H974" s="206"/>
      <c r="J974" s="224"/>
      <c r="K974" s="230"/>
      <c r="L974" s="231"/>
    </row>
    <row r="975">
      <c r="A975" s="233"/>
      <c r="B975" s="206"/>
      <c r="C975" s="205"/>
      <c r="D975" s="206"/>
      <c r="E975" s="207"/>
      <c r="G975" s="234"/>
      <c r="H975" s="206"/>
      <c r="J975" s="224"/>
      <c r="K975" s="230"/>
      <c r="L975" s="231"/>
    </row>
    <row r="976">
      <c r="A976" s="233"/>
      <c r="B976" s="206"/>
      <c r="C976" s="205"/>
      <c r="D976" s="206"/>
      <c r="E976" s="207"/>
      <c r="G976" s="234"/>
      <c r="H976" s="206"/>
      <c r="J976" s="224"/>
      <c r="K976" s="230"/>
      <c r="L976" s="231"/>
    </row>
    <row r="977">
      <c r="A977" s="233"/>
      <c r="B977" s="206"/>
      <c r="C977" s="205"/>
      <c r="D977" s="206"/>
      <c r="E977" s="207"/>
      <c r="G977" s="234"/>
      <c r="H977" s="206"/>
      <c r="J977" s="224"/>
      <c r="K977" s="230"/>
      <c r="L977" s="231"/>
    </row>
    <row r="978">
      <c r="A978" s="233"/>
      <c r="B978" s="206"/>
      <c r="C978" s="205"/>
      <c r="D978" s="206"/>
      <c r="E978" s="207"/>
      <c r="G978" s="234"/>
      <c r="H978" s="206"/>
      <c r="J978" s="224"/>
      <c r="K978" s="230"/>
      <c r="L978" s="231"/>
    </row>
    <row r="979">
      <c r="A979" s="233"/>
      <c r="B979" s="205"/>
      <c r="C979" s="205"/>
      <c r="D979" s="205"/>
      <c r="E979" s="207"/>
      <c r="G979" s="234"/>
      <c r="H979" s="205"/>
      <c r="J979" s="224"/>
      <c r="K979" s="230"/>
      <c r="L979" s="180"/>
    </row>
    <row r="980">
      <c r="A980" s="233"/>
      <c r="B980" s="205"/>
      <c r="C980" s="205"/>
      <c r="D980" s="205"/>
      <c r="E980" s="207"/>
      <c r="G980" s="234"/>
      <c r="H980" s="205"/>
      <c r="J980" s="224"/>
      <c r="K980" s="230"/>
      <c r="L980" s="180"/>
    </row>
    <row r="981">
      <c r="A981" s="233"/>
      <c r="B981" s="205"/>
      <c r="C981" s="205"/>
      <c r="D981" s="205"/>
      <c r="E981" s="207"/>
      <c r="G981" s="234"/>
      <c r="H981" s="205"/>
      <c r="J981" s="224"/>
      <c r="K981" s="230"/>
      <c r="L981" s="180"/>
    </row>
    <row r="982">
      <c r="A982" s="233"/>
      <c r="B982" s="205"/>
      <c r="C982" s="205"/>
      <c r="D982" s="205"/>
      <c r="E982" s="207"/>
      <c r="G982" s="234"/>
      <c r="H982" s="205"/>
      <c r="J982" s="224"/>
      <c r="K982" s="230"/>
      <c r="L982" s="180"/>
    </row>
    <row r="983">
      <c r="A983" s="233"/>
      <c r="B983" s="205"/>
      <c r="C983" s="205"/>
      <c r="D983" s="205"/>
      <c r="E983" s="207"/>
      <c r="G983" s="234"/>
      <c r="H983" s="205"/>
      <c r="J983" s="224"/>
      <c r="K983" s="230"/>
      <c r="L983" s="180"/>
    </row>
    <row r="984">
      <c r="A984" s="233"/>
      <c r="B984" s="205"/>
      <c r="C984" s="205"/>
      <c r="D984" s="205"/>
      <c r="E984" s="207"/>
      <c r="G984" s="234"/>
      <c r="H984" s="205"/>
      <c r="J984" s="224"/>
      <c r="K984" s="230"/>
      <c r="L984" s="180"/>
    </row>
    <row r="985">
      <c r="A985" s="233"/>
      <c r="B985" s="205"/>
      <c r="C985" s="205"/>
      <c r="D985" s="205"/>
      <c r="E985" s="207"/>
      <c r="G985" s="234"/>
      <c r="H985" s="205"/>
      <c r="J985" s="224"/>
      <c r="K985" s="230"/>
      <c r="L985" s="180"/>
    </row>
    <row r="986">
      <c r="A986" s="233"/>
      <c r="B986" s="205"/>
      <c r="C986" s="205"/>
      <c r="D986" s="205"/>
      <c r="E986" s="207"/>
      <c r="G986" s="234"/>
      <c r="H986" s="205"/>
      <c r="J986" s="224"/>
      <c r="K986" s="230"/>
      <c r="L986" s="180"/>
    </row>
    <row r="987">
      <c r="A987" s="233"/>
      <c r="B987" s="205"/>
      <c r="C987" s="205"/>
      <c r="D987" s="205"/>
      <c r="E987" s="207"/>
      <c r="G987" s="234"/>
      <c r="H987" s="205"/>
      <c r="J987" s="224"/>
      <c r="K987" s="230"/>
      <c r="L987" s="180"/>
    </row>
    <row r="988">
      <c r="A988" s="233"/>
      <c r="B988" s="205"/>
      <c r="C988" s="205"/>
      <c r="D988" s="205"/>
      <c r="E988" s="207"/>
      <c r="G988" s="234"/>
      <c r="H988" s="205"/>
      <c r="J988" s="224"/>
      <c r="K988" s="230"/>
      <c r="L988" s="180"/>
    </row>
    <row r="989">
      <c r="A989" s="233"/>
      <c r="B989" s="205"/>
      <c r="C989" s="205"/>
      <c r="D989" s="205"/>
      <c r="E989" s="207"/>
      <c r="G989" s="234"/>
      <c r="H989" s="205"/>
      <c r="J989" s="224"/>
      <c r="K989" s="230"/>
      <c r="L989" s="180"/>
    </row>
  </sheetData>
  <drawing r:id="rId1"/>
</worksheet>
</file>